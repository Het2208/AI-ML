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 activeTab="1"/>
  </bookViews>
  <sheets>
    <sheet name="📊 Dashboard" sheetId="1" r:id="rId1"/>
    <sheet name="📅 Tracker" sheetId="2" r:id="rId2"/>
    <sheet name="📚 Re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<sst xmlns="http://schemas.openxmlformats.org/spreadsheetml/2006/main" count="2142" uniqueCount="774">
  <si>
    <t>🤖  AI / ML ENGINEER – 12-MONTH STREAK TRACKER</t>
  </si>
  <si>
    <t>336 Days · 8 Phases · 48 Weeks  |  Tick ✓ each day you complete on the tracker sheet</t>
  </si>
  <si>
    <t>DAYS DONE</t>
  </si>
  <si>
    <t>DAYS LEFT</t>
  </si>
  <si>
    <t>CURRENT STREAK</t>
  </si>
  <si>
    <t>BEST STREAK</t>
  </si>
  <si>
    <t>% COMPLETE</t>
  </si>
  <si>
    <t>PHASE</t>
  </si>
  <si>
    <t>PHASE NAME</t>
  </si>
  <si>
    <t>MONTHS</t>
  </si>
  <si>
    <t>DAYS</t>
  </si>
  <si>
    <t>DONE</t>
  </si>
  <si>
    <t>PROGRESS</t>
  </si>
  <si>
    <t>Phase 1</t>
  </si>
  <si>
    <t>Python Foundations</t>
  </si>
  <si>
    <t>Months 1–2</t>
  </si>
  <si>
    <t>Phase 2</t>
  </si>
  <si>
    <t>Data Analysis</t>
  </si>
  <si>
    <t>Month 3</t>
  </si>
  <si>
    <t>Phase 3</t>
  </si>
  <si>
    <t>Math for AI</t>
  </si>
  <si>
    <t>Month 4</t>
  </si>
  <si>
    <t>Phase 4</t>
  </si>
  <si>
    <t>Machine Learning</t>
  </si>
  <si>
    <t>Months 5–6</t>
  </si>
  <si>
    <t>Phase 5</t>
  </si>
  <si>
    <t>Deep Learning</t>
  </si>
  <si>
    <t>Months 7–8</t>
  </si>
  <si>
    <t>Phase 6</t>
  </si>
  <si>
    <t>GenAI &amp; Transformers</t>
  </si>
  <si>
    <t>Months 9–10</t>
  </si>
  <si>
    <t>Phase 7</t>
  </si>
  <si>
    <t>Engineering Stack</t>
  </si>
  <si>
    <t>Month 11</t>
  </si>
  <si>
    <t>Phase 8</t>
  </si>
  <si>
    <t>Projects &amp; Job Prep</t>
  </si>
  <si>
    <t>Month 12</t>
  </si>
  <si>
    <r>
      <rPr>
        <i/>
        <sz val="10"/>
        <color rgb="FF1E40AF"/>
        <rFont val="Arial"/>
        <charset val="1"/>
      </rPr>
      <t xml:space="preserve">📌  HOW TO USE: Go to the '📅 Tracker' sheet → find today's row → type  </t>
    </r>
    <r>
      <rPr>
        <i/>
        <sz val="10"/>
        <color rgb="FF1E40AF"/>
        <rFont val="Times New Roman"/>
        <charset val="1"/>
      </rPr>
      <t>✓</t>
    </r>
    <r>
      <rPr>
        <i/>
        <sz val="10"/>
        <color rgb="FF1E40AF"/>
        <rFont val="Arial"/>
        <charset val="1"/>
      </rPr>
      <t xml:space="preserve">  in the DONE column (H) → watch your stats update!</t>
    </r>
  </si>
  <si>
    <t>💡  TIP: You can also type  ✗  for a missed day or leave blank. Streak counts consecutive ✓ from Day 1.</t>
  </si>
  <si>
    <t>🤖  AI / ML ENGINEER ROADMAP – DAILY TRACKER</t>
  </si>
  <si>
    <t>STATS (do not edit)</t>
  </si>
  <si>
    <t>DAY</t>
  </si>
  <si>
    <t>WEEK</t>
  </si>
  <si>
    <t>MONTH</t>
  </si>
  <si>
    <t>TOPIC</t>
  </si>
  <si>
    <t>PHASE #</t>
  </si>
  <si>
    <t>WHAT TO STUDY TODAY</t>
  </si>
  <si>
    <t>Days Done</t>
  </si>
  <si>
    <t>Wk 1
Mon</t>
  </si>
  <si>
    <t>✓</t>
  </si>
  <si>
    <t>Day 1: Python syntax &amp; indentation</t>
  </si>
  <si>
    <t>Helsinki MOOC → https://programming-mooc.fi  |  Corey Schafer OOP → youtube.com/playlist?list=PL-osiE80TeTsqhIuOqKhwlXsIBIdSeYtc</t>
  </si>
  <si>
    <t>Days Left</t>
  </si>
  <si>
    <t>start</t>
  </si>
  <si>
    <t>Wk 1
Tue</t>
  </si>
  <si>
    <t>Day 2: Variables &amp; data types</t>
  </si>
  <si>
    <t>Current Streak</t>
  </si>
  <si>
    <t>end</t>
  </si>
  <si>
    <t>Wk 1
Wed</t>
  </si>
  <si>
    <t>Day 3: Operators (arithmetic, comparison, logical)</t>
  </si>
  <si>
    <t>Best Streak (approx)</t>
  </si>
  <si>
    <t>Wk 1
Thu</t>
  </si>
  <si>
    <t>Day 4: Input / Output – input() &amp; print()</t>
  </si>
  <si>
    <t>% Complete</t>
  </si>
  <si>
    <t>Wk 1
Fri</t>
  </si>
  <si>
    <t>Day 5: Practice: basic calculator</t>
  </si>
  <si>
    <t>Wk 1
Sat</t>
  </si>
  <si>
    <t>Day 6: Mini exercises (HackerRank)</t>
  </si>
  <si>
    <t>Wk 1
Sun</t>
  </si>
  <si>
    <t>Day 7: Review &amp; push to GitHub</t>
  </si>
  <si>
    <t>Wk 2
Mon</t>
  </si>
  <si>
    <t>Day 8: if / elif / else statements</t>
  </si>
  <si>
    <t>Wk 2
Tue</t>
  </si>
  <si>
    <t>Day 9: for loop &amp; range()</t>
  </si>
  <si>
    <t>Wk 2
Wed</t>
  </si>
  <si>
    <t>Day 10: while loop</t>
  </si>
  <si>
    <t>Wk 2
Thu</t>
  </si>
  <si>
    <t>Day 11: break, continue, pass</t>
  </si>
  <si>
    <t>Wk 2
Fri</t>
  </si>
  <si>
    <t>Day 12: Nested loops practice</t>
  </si>
  <si>
    <t>Wk 2
Sat</t>
  </si>
  <si>
    <t>Day 13: Pattern printing exercises</t>
  </si>
  <si>
    <t>Wk 2
Sun</t>
  </si>
  <si>
    <t>Day 14: HackerRank Flow Control</t>
  </si>
  <si>
    <t>Wk 3
Mon</t>
  </si>
  <si>
    <t>Day 15: def – defining functions</t>
  </si>
  <si>
    <t>Wk 3
Tue</t>
  </si>
  <si>
    <t>Day 16: Arguments &amp; default values</t>
  </si>
  <si>
    <t>Wk 3
Wed</t>
  </si>
  <si>
    <t>Day 17: Return values</t>
  </si>
  <si>
    <t>Wk 3
Thu</t>
  </si>
  <si>
    <t>Day 18: Lambda functions</t>
  </si>
  <si>
    <t>Wk 3
Fri</t>
  </si>
  <si>
    <t>Day 19: *args &amp; **kwargs</t>
  </si>
  <si>
    <t>Wk 3
Sat</t>
  </si>
  <si>
    <t>Day 20: Scope: local vs global</t>
  </si>
  <si>
    <t>Wk 3
Sun</t>
  </si>
  <si>
    <t>Day 21: Function exercises</t>
  </si>
  <si>
    <t>Wk 4
Mon</t>
  </si>
  <si>
    <t>Day 22: Lists – create, index, slice</t>
  </si>
  <si>
    <t>Wk 4
Tue</t>
  </si>
  <si>
    <t>Day 23: Tuples &amp; immutability</t>
  </si>
  <si>
    <t>Wk 4
Wed</t>
  </si>
  <si>
    <t>Day 24: Sets &amp; set operations</t>
  </si>
  <si>
    <t>Wk 4
Thu</t>
  </si>
  <si>
    <t>Day 25: Dictionaries – CRUD</t>
  </si>
  <si>
    <t>Wk 4
Fri</t>
  </si>
  <si>
    <t>Day 26: List comprehensions</t>
  </si>
  <si>
    <t>Wk 4
Sat</t>
  </si>
  <si>
    <t>Day 27: Dict comprehensions</t>
  </si>
  <si>
    <t>Wk 4
Sun</t>
  </si>
  <si>
    <t>Day 28: HackerRank Data Structures</t>
  </si>
  <si>
    <t>Wk 5
Mon</t>
  </si>
  <si>
    <t>Day 29: Advanced list comprehensions</t>
  </si>
  <si>
    <t>Wk 5
Tue</t>
  </si>
  <si>
    <t>Day 30: Advanced dict comprehensions</t>
  </si>
  <si>
    <t>Wk 5
Wed</t>
  </si>
  <si>
    <t>Day 31: Exception handling – try/except</t>
  </si>
  <si>
    <t>Wk 5
Thu</t>
  </si>
  <si>
    <t>Day 32: try / except / finally</t>
  </si>
  <si>
    <t>Wk 5
Fri</t>
  </si>
  <si>
    <t>Day 33: Custom exceptions</t>
  </si>
  <si>
    <t>Wk 5
Sat</t>
  </si>
  <si>
    <t>Day 34: Practice exception handling</t>
  </si>
  <si>
    <t>Wk 5
Sun</t>
  </si>
  <si>
    <t>Day 35: Review week 5</t>
  </si>
  <si>
    <t>Wk 6
Mon</t>
  </si>
  <si>
    <t>Day 36: open() – read &amp; write modes</t>
  </si>
  <si>
    <t>Wk 6
Tue</t>
  </si>
  <si>
    <t>Day 37: File modes r, w, a, rb, wb</t>
  </si>
  <si>
    <t>Wk 6
Wed</t>
  </si>
  <si>
    <t>Day 38: CSV module – reader/writer</t>
  </si>
  <si>
    <t>Wk 6
Thu</t>
  </si>
  <si>
    <t>Day 39: JSON module – dumps/loads</t>
  </si>
  <si>
    <t>Wk 6
Fri</t>
  </si>
  <si>
    <t>Day 40: Parse a real JSON API file</t>
  </si>
  <si>
    <t>Wk 6
Sat</t>
  </si>
  <si>
    <t>Day 41: Write data pipeline script</t>
  </si>
  <si>
    <t>Wk 6
Sun</t>
  </si>
  <si>
    <t>Day 42: Mini project: data logger</t>
  </si>
  <si>
    <t>Wk 7
Mon</t>
  </si>
  <si>
    <t>Day 43: Class &amp; Object concept</t>
  </si>
  <si>
    <t>Wk 7
Tue</t>
  </si>
  <si>
    <t>Day 44: Constructor – __init__</t>
  </si>
  <si>
    <t>Wk 7
Wed</t>
  </si>
  <si>
    <t>Day 45: Instance methods &amp; attributes</t>
  </si>
  <si>
    <t>Wk 7
Thu</t>
  </si>
  <si>
    <t>Day 46: Encapsulation &amp; private vars</t>
  </si>
  <si>
    <t>Wk 7
Fri</t>
  </si>
  <si>
    <t>Day 47: @property decorator</t>
  </si>
  <si>
    <t>Wk 7
Sat</t>
  </si>
  <si>
    <t>Day 48: Dunder methods __str__ __repr__</t>
  </si>
  <si>
    <t>Wk 7
Sun</t>
  </si>
  <si>
    <t>Day 49: OOP practice problems</t>
  </si>
  <si>
    <t>Wk 8
Mon</t>
  </si>
  <si>
    <t>Day 50: Inheritance &amp; super()</t>
  </si>
  <si>
    <t>Wk 8
Tue</t>
  </si>
  <si>
    <t>Day 51: Method overriding</t>
  </si>
  <si>
    <t>Wk 8
Wed</t>
  </si>
  <si>
    <t>Day 52: Polymorphism concept</t>
  </si>
  <si>
    <t>Wk 8
Thu</t>
  </si>
  <si>
    <t>Day 53: Abstract Base Classes (ABC)</t>
  </si>
  <si>
    <t>Wk 8
Fri</t>
  </si>
  <si>
    <t>Day 54: Multiple inheritance</t>
  </si>
  <si>
    <t>Wk 8
Sat</t>
  </si>
  <si>
    <t>Day 55: OOP design exercise</t>
  </si>
  <si>
    <t>Wk 8
Sun</t>
  </si>
  <si>
    <t>Day 56: PROJECT: Library Management System</t>
  </si>
  <si>
    <t>▲  END OF PHASE 1: Python Foundations  ▲</t>
  </si>
  <si>
    <t>Wk 9
Mon</t>
  </si>
  <si>
    <t>Day 57: NumPy – arrays vs Python lists</t>
  </si>
  <si>
    <t>Kaggle Learn Pandas → kaggle.com/learn/pandas  |  freeCodeCamp Data Analysis → youtube.com/watch?v=r-uOLxNrNk8</t>
  </si>
  <si>
    <t>Wk 9
Tue</t>
  </si>
  <si>
    <t>Day 58: Array creation: zeros, ones, arange, linspace</t>
  </si>
  <si>
    <t>Wk 9
Wed</t>
  </si>
  <si>
    <t>Day 59: Indexing &amp; slicing</t>
  </si>
  <si>
    <t>Wk 9
Thu</t>
  </si>
  <si>
    <t>Day 60: Array reshaping</t>
  </si>
  <si>
    <t>Wk 9
Fri</t>
  </si>
  <si>
    <t>Day 61: Broadcasting rules</t>
  </si>
  <si>
    <t>Wk 9
Sat</t>
  </si>
  <si>
    <t>Day 62: Vector &amp; matrix operations</t>
  </si>
  <si>
    <t>Wk 9
Sun</t>
  </si>
  <si>
    <t>Day 63: Kaggle NumPy exercises</t>
  </si>
  <si>
    <t>Wk 10
Mon</t>
  </si>
  <si>
    <t>Day 64: Pandas – Series basics</t>
  </si>
  <si>
    <t>Wk 10
Tue</t>
  </si>
  <si>
    <t>Day 65: Pandas – DataFrame basics</t>
  </si>
  <si>
    <t>Wk 10
Wed</t>
  </si>
  <si>
    <t>Day 66: Reading CSV / Excel / JSON</t>
  </si>
  <si>
    <t>Wk 10
Thu</t>
  </si>
  <si>
    <t>Day 67: Filtering &amp; conditional selection</t>
  </si>
  <si>
    <t>Wk 10
Fri</t>
  </si>
  <si>
    <t>Day 68: Sorting &amp; ranking</t>
  </si>
  <si>
    <t>Wk 10
Sat</t>
  </si>
  <si>
    <t>Day 69: GroupBy &amp; aggregations</t>
  </si>
  <si>
    <t>Wk 10
Sun</t>
  </si>
  <si>
    <t>Day 70: Merging &amp; joining DataFrames</t>
  </si>
  <si>
    <t>Wk 11
Mon</t>
  </si>
  <si>
    <t>Day 71: Handling missing values – isna()</t>
  </si>
  <si>
    <t>Wk 11
Tue</t>
  </si>
  <si>
    <t>Day 72: fillna() &amp; dropna() strategies</t>
  </si>
  <si>
    <t>Wk 11
Wed</t>
  </si>
  <si>
    <t>Day 73: Label encoding</t>
  </si>
  <si>
    <t>Wk 11
Thu</t>
  </si>
  <si>
    <t>Day 74: One-Hot encoding (pd.get_dummies)</t>
  </si>
  <si>
    <t>Wk 11
Fri</t>
  </si>
  <si>
    <t>Day 75: StandardScaler – feature scaling</t>
  </si>
  <si>
    <t>Wk 11
Sat</t>
  </si>
  <si>
    <t>Day 76: MinMaxScaler</t>
  </si>
  <si>
    <t>Wk 11
Sun</t>
  </si>
  <si>
    <t>Day 77: Feature engineering basics</t>
  </si>
  <si>
    <t>Wk 12
Mon</t>
  </si>
  <si>
    <t>Day 78: Matplotlib – line &amp; bar charts</t>
  </si>
  <si>
    <t>Wk 12
Tue</t>
  </si>
  <si>
    <t>Day 79: Matplotlib – scatter &amp; pie</t>
  </si>
  <si>
    <t>Wk 12
Wed</t>
  </si>
  <si>
    <t>Day 80: Subplots &amp; figure sizing</t>
  </si>
  <si>
    <t>Wk 12
Thu</t>
  </si>
  <si>
    <t>Day 81: Seaborn – heatmap</t>
  </si>
  <si>
    <t>Wk 12
Fri</t>
  </si>
  <si>
    <t>Day 82: Seaborn – boxplot &amp; violin</t>
  </si>
  <si>
    <t>Wk 12
Sat</t>
  </si>
  <si>
    <t>Day 83: Seaborn – histogram &amp; pairplot</t>
  </si>
  <si>
    <t>Wk 12
Sun</t>
  </si>
  <si>
    <t>Day 84: PROJECT: Sales Data Dashboard</t>
  </si>
  <si>
    <t>▲  END OF PHASE 2: Data Analysis  ▲</t>
  </si>
  <si>
    <t>Wk 13
Mon</t>
  </si>
  <si>
    <t>Day 85: Mean, median, mode</t>
  </si>
  <si>
    <t>StatQuest → youtube.com/c/joshstarmer  |  Khan Academy → khanacademy.org/math/statistics-probability</t>
  </si>
  <si>
    <t>Wk 13
Tue</t>
  </si>
  <si>
    <t>Day 86: Variance &amp; standard deviation</t>
  </si>
  <si>
    <t>Wk 13
Wed</t>
  </si>
  <si>
    <t>Day 87: Correlation &amp; covariance</t>
  </si>
  <si>
    <t>Wk 13
Thu</t>
  </si>
  <si>
    <t>Day 88: Percentiles &amp; IQR</t>
  </si>
  <si>
    <t>Wk 13
Fri</t>
  </si>
  <si>
    <t>Day 89: StatQuest videos – statistics</t>
  </si>
  <si>
    <t>Wk 13
Sat</t>
  </si>
  <si>
    <t>Day 90: Apply stats on Kaggle dataset</t>
  </si>
  <si>
    <t>Wk 13
Sun</t>
  </si>
  <si>
    <t>Day 91: Review &amp; notes</t>
  </si>
  <si>
    <t>Wk 14
Mon</t>
  </si>
  <si>
    <t>Day 92: Probability basics &amp; rules</t>
  </si>
  <si>
    <t>Wk 14
Tue</t>
  </si>
  <si>
    <t>Day 93: Addition &amp; multiplication rules</t>
  </si>
  <si>
    <t>Wk 14
Wed</t>
  </si>
  <si>
    <t>Day 94: Conditional probability</t>
  </si>
  <si>
    <t>Wk 14
Thu</t>
  </si>
  <si>
    <t>Day 95: Bayes Theorem derivation</t>
  </si>
  <si>
    <t>Wk 14
Fri</t>
  </si>
  <si>
    <t>Day 96: Bayes real-world examples</t>
  </si>
  <si>
    <t>Wk 14
Sat</t>
  </si>
  <si>
    <t>Day 97: Probability distributions intro</t>
  </si>
  <si>
    <t>Wk 14
Sun</t>
  </si>
  <si>
    <t>Day 98: Khan Academy practice</t>
  </si>
  <si>
    <t>Wk 15
Mon</t>
  </si>
  <si>
    <t>Day 99: Normal distribution &amp; bell curve</t>
  </si>
  <si>
    <t>Wk 15
Tue</t>
  </si>
  <si>
    <t>Day 100: Z-scores calculation</t>
  </si>
  <si>
    <t>Wk 15
Wed</t>
  </si>
  <si>
    <t>Day 101: Sampling methods</t>
  </si>
  <si>
    <t>Wk 15
Thu</t>
  </si>
  <si>
    <t>Day 102: Central Limit Theorem concept</t>
  </si>
  <si>
    <t>Wk 15
Fri</t>
  </si>
  <si>
    <t>Day 103: Visualise CLT with code</t>
  </si>
  <si>
    <t>Wk 15
Sat</t>
  </si>
  <si>
    <t>Day 104: Confidence intervals</t>
  </si>
  <si>
    <t>Wk 15
Sun</t>
  </si>
  <si>
    <t>Day 105: StatQuest CLT video</t>
  </si>
  <si>
    <t>Wk 16
Mon</t>
  </si>
  <si>
    <t>Day 106: Bias definition &amp; causes</t>
  </si>
  <si>
    <t>Wk 16
Tue</t>
  </si>
  <si>
    <t>Day 107: Variance definition &amp; causes</t>
  </si>
  <si>
    <t>Wk 16
Wed</t>
  </si>
  <si>
    <t>Day 108: Overfitting examples</t>
  </si>
  <si>
    <t>Wk 16
Thu</t>
  </si>
  <si>
    <t>Day 109: Underfitting examples</t>
  </si>
  <si>
    <t>Wk 16
Fri</t>
  </si>
  <si>
    <t>Day 110: Bias–variance tradeoff graph</t>
  </si>
  <si>
    <t>Wk 16
Sat</t>
  </si>
  <si>
    <t>Day 111: Regularisation intro (L1/L2)</t>
  </si>
  <si>
    <t>Wk 16
Sun</t>
  </si>
  <si>
    <t>Day 112: PROJECT: Statistical analysis report</t>
  </si>
  <si>
    <t>▲  END OF PHASE 3: Math for AI  ▲</t>
  </si>
  <si>
    <t>Wk 17
Mon</t>
  </si>
  <si>
    <t>Day 113: ML workflow overview</t>
  </si>
  <si>
    <t>Andrew Ng ML → coursera.org/specializations/machine-learning-introduction  |  Scikit-learn → scikit-learn.org</t>
  </si>
  <si>
    <t>Wk 17
Tue</t>
  </si>
  <si>
    <t>Day 114: Train / test / validation split</t>
  </si>
  <si>
    <t>Wk 17
Wed</t>
  </si>
  <si>
    <t>Day 115: Cross-validation (k-fold)</t>
  </si>
  <si>
    <t>Wk 17
Thu</t>
  </si>
  <si>
    <t>Day 116: Scikit-learn API intro</t>
  </si>
  <si>
    <t>Wk 17
Fri</t>
  </si>
  <si>
    <t>Day 117: First ML model – iris dataset</t>
  </si>
  <si>
    <t>Wk 17
Sat</t>
  </si>
  <si>
    <t>Day 118: Model evaluation basics</t>
  </si>
  <si>
    <t>Wk 17
Sun</t>
  </si>
  <si>
    <t>Day 119: Andrew Ng – ML Specialisation</t>
  </si>
  <si>
    <t>Wk 18
Mon</t>
  </si>
  <si>
    <t>Day 120: Simple linear regression</t>
  </si>
  <si>
    <t>Wk 18
Tue</t>
  </si>
  <si>
    <t>Day 121: Multiple linear regression</t>
  </si>
  <si>
    <t>Wk 18
Wed</t>
  </si>
  <si>
    <t>Day 122: Ordinary Least Squares (OLS)</t>
  </si>
  <si>
    <t>Wk 18
Thu</t>
  </si>
  <si>
    <t>Day 123: Gradient descent intuition</t>
  </si>
  <si>
    <t>Wk 18
Fri</t>
  </si>
  <si>
    <t>Day 124: MSE &amp; RMSE metrics</t>
  </si>
  <si>
    <t>Wk 18
Sat</t>
  </si>
  <si>
    <t>Day 125: R² score</t>
  </si>
  <si>
    <t>Wk 18
Sun</t>
  </si>
  <si>
    <t>Day 126: Kaggle regression dataset</t>
  </si>
  <si>
    <t>Wk 19
Mon</t>
  </si>
  <si>
    <t>Day 127: Logistic regression concept</t>
  </si>
  <si>
    <t>Wk 19
Tue</t>
  </si>
  <si>
    <t>Day 128: Sigmoid function</t>
  </si>
  <si>
    <t>Wk 19
Wed</t>
  </si>
  <si>
    <t>Day 129: Decision boundary</t>
  </si>
  <si>
    <t>Wk 19
Thu</t>
  </si>
  <si>
    <t>Day 130: Naive Bayes concept</t>
  </si>
  <si>
    <t>Wk 19
Fri</t>
  </si>
  <si>
    <t>Day 131: Gaussian Naive Bayes</t>
  </si>
  <si>
    <t>Wk 19
Sat</t>
  </si>
  <si>
    <t>Day 132: Text classification with NB</t>
  </si>
  <si>
    <t>Wk 19
Sun</t>
  </si>
  <si>
    <t>Day 133: Evaluate with precision/recall</t>
  </si>
  <si>
    <t>Wk 20
Mon</t>
  </si>
  <si>
    <t>Day 134: K-Nearest Neighbours (KNN)</t>
  </si>
  <si>
    <t>Wk 20
Tue</t>
  </si>
  <si>
    <t>Day 135: Choosing K value</t>
  </si>
  <si>
    <t>Wk 20
Wed</t>
  </si>
  <si>
    <t>Day 136: Decision Tree concept</t>
  </si>
  <si>
    <t>Wk 20
Thu</t>
  </si>
  <si>
    <t>Day 137: Gini impurity &amp; entropy</t>
  </si>
  <si>
    <t>Wk 20
Fri</t>
  </si>
  <si>
    <t>Day 138: Random Forest concept</t>
  </si>
  <si>
    <t>Wk 20
Sat</t>
  </si>
  <si>
    <t>Day 139: Feature importance</t>
  </si>
  <si>
    <t>Wk 20
Sun</t>
  </si>
  <si>
    <t>Day 140: PROJECT: House Price Prediction</t>
  </si>
  <si>
    <t>Wk 21
Mon</t>
  </si>
  <si>
    <t>Day 141: K-Means clustering concept</t>
  </si>
  <si>
    <t>Wk 21
Tue</t>
  </si>
  <si>
    <t>Day 142: Lloyd's algorithm steps</t>
  </si>
  <si>
    <t>Wk 21
Wed</t>
  </si>
  <si>
    <t>Day 143: Elbow method for K</t>
  </si>
  <si>
    <t>Wk 21
Thu</t>
  </si>
  <si>
    <t>Day 144: Implementing K-Means</t>
  </si>
  <si>
    <t>Wk 21
Fri</t>
  </si>
  <si>
    <t>Day 145: Visualise clusters</t>
  </si>
  <si>
    <t>Wk 21
Sat</t>
  </si>
  <si>
    <t>Day 146: Silhouette score</t>
  </si>
  <si>
    <t>Wk 21
Sun</t>
  </si>
  <si>
    <t>Day 147: Real dataset practice</t>
  </si>
  <si>
    <t>Wk 22
Mon</t>
  </si>
  <si>
    <t>Day 148: Hierarchical clustering</t>
  </si>
  <si>
    <t>Wk 22
Tue</t>
  </si>
  <si>
    <t>Day 149: Dendrogram reading</t>
  </si>
  <si>
    <t>Wk 22
Wed</t>
  </si>
  <si>
    <t>Day 150: PCA concept &amp; intuition</t>
  </si>
  <si>
    <t>Wk 22
Thu</t>
  </si>
  <si>
    <t>Day 151: PCA in scikit-learn</t>
  </si>
  <si>
    <t>Wk 22
Fri</t>
  </si>
  <si>
    <t>Day 152: Explained variance ratio</t>
  </si>
  <si>
    <t>Wk 22
Sat</t>
  </si>
  <si>
    <t>Day 153: Visualise PCA components</t>
  </si>
  <si>
    <t>Wk 22
Sun</t>
  </si>
  <si>
    <t>Day 154: Compare clustering methods</t>
  </si>
  <si>
    <t>Wk 23
Mon</t>
  </si>
  <si>
    <t>Day 155: Association rules basics</t>
  </si>
  <si>
    <t>Wk 23
Tue</t>
  </si>
  <si>
    <t>Day 156: Support, Confidence, Lift</t>
  </si>
  <si>
    <t>Wk 23
Wed</t>
  </si>
  <si>
    <t>Day 157: Apriori algorithm</t>
  </si>
  <si>
    <t>Wk 23
Thu</t>
  </si>
  <si>
    <t>Day 158: Market basket analysis</t>
  </si>
  <si>
    <t>Wk 23
Fri</t>
  </si>
  <si>
    <t>Day 159: Recommendation system basics</t>
  </si>
  <si>
    <t>Wk 23
Sat</t>
  </si>
  <si>
    <t>Day 160: Collaborative filtering intro</t>
  </si>
  <si>
    <t>Wk 23
Sun</t>
  </si>
  <si>
    <t>Day 161: Practice on retail dataset</t>
  </si>
  <si>
    <t>Wk 24
Mon</t>
  </si>
  <si>
    <t>Day 162: RL – Agent &amp; Environment</t>
  </si>
  <si>
    <t>Wk 24
Tue</t>
  </si>
  <si>
    <t>Day 163: State, Action, Reward</t>
  </si>
  <si>
    <t>Wk 24
Wed</t>
  </si>
  <si>
    <t>Day 164: Policy &amp; value function</t>
  </si>
  <si>
    <t>Wk 24
Thu</t>
  </si>
  <si>
    <t>Day 165: Q-Learning basics</t>
  </si>
  <si>
    <t>Wk 24
Fri</t>
  </si>
  <si>
    <t>Day 166: OpenAI Gym setup</t>
  </si>
  <si>
    <t>Wk 24
Sat</t>
  </si>
  <si>
    <t>Day 167: Simple RL cart-pole game</t>
  </si>
  <si>
    <t>Wk 24
Sun</t>
  </si>
  <si>
    <t>Day 168: PROJECT: Customer Segmentation</t>
  </si>
  <si>
    <t>▲  END OF PHASE 4: Machine Learning  ▲</t>
  </si>
  <si>
    <t>Wk 25
Mon</t>
  </si>
  <si>
    <t>Day 169: Perceptron model</t>
  </si>
  <si>
    <t>DeepLearning.AI → coursera.org/specializations/deep-learning  |  TF Tutorials → tensorflow.org/tutorials</t>
  </si>
  <si>
    <t>Wk 25
Tue</t>
  </si>
  <si>
    <t>Day 170: Multi-layer network</t>
  </si>
  <si>
    <t>Wk 25
Wed</t>
  </si>
  <si>
    <t>Day 171: Activation: ReLU, Sigmoid, Tanh</t>
  </si>
  <si>
    <t>Wk 25
Thu</t>
  </si>
  <si>
    <t>Day 172: Softmax for classification</t>
  </si>
  <si>
    <t>Wk 25
Fri</t>
  </si>
  <si>
    <t>Day 173: Loss functions – MSE, Cross-entropy</t>
  </si>
  <si>
    <t>Wk 25
Sat</t>
  </si>
  <si>
    <t>Day 174: Build simple NN from scratch</t>
  </si>
  <si>
    <t>Wk 25
Sun</t>
  </si>
  <si>
    <t>Day 175: 3Blue1Brown playlist</t>
  </si>
  <si>
    <t>Wk 26
Mon</t>
  </si>
  <si>
    <t>Day 176: Forward propagation math</t>
  </si>
  <si>
    <t>Wk 26
Tue</t>
  </si>
  <si>
    <t>Day 177: Loss calculation</t>
  </si>
  <si>
    <t>Wk 26
Wed</t>
  </si>
  <si>
    <t>Day 178: Chain rule review</t>
  </si>
  <si>
    <t>Wk 26
Thu</t>
  </si>
  <si>
    <t>Day 179: Gradient calculation</t>
  </si>
  <si>
    <t>Wk 26
Fri</t>
  </si>
  <si>
    <t>Day 180: Backpropagation algorithm</t>
  </si>
  <si>
    <t>Wk 26
Sat</t>
  </si>
  <si>
    <t>Day 181: Weight updates &amp; learning rate</t>
  </si>
  <si>
    <t>Wk 26
Sun</t>
  </si>
  <si>
    <t>Day 182: Code backprop from scratch</t>
  </si>
  <si>
    <t>Wk 27
Mon</t>
  </si>
  <si>
    <t>Day 183: TensorFlow 2.x basics</t>
  </si>
  <si>
    <t>Wk 27
Tue</t>
  </si>
  <si>
    <t>Day 184: Keras Sequential model</t>
  </si>
  <si>
    <t>Wk 27
Wed</t>
  </si>
  <si>
    <t>Day 185: Dense layers &amp; activation</t>
  </si>
  <si>
    <t>Wk 27
Thu</t>
  </si>
  <si>
    <t>Day 186: model.compile() params</t>
  </si>
  <si>
    <t>Wk 27
Fri</t>
  </si>
  <si>
    <t>Day 187: model.fit() &amp; history</t>
  </si>
  <si>
    <t>Wk 27
Sat</t>
  </si>
  <si>
    <t>Day 188: Callbacks (EarlyStopping)</t>
  </si>
  <si>
    <t>Wk 27
Sun</t>
  </si>
  <si>
    <t>Day 189: Save &amp; load Keras model</t>
  </si>
  <si>
    <t>Wk 28
Mon</t>
  </si>
  <si>
    <t>Day 190: Load MNIST dataset</t>
  </si>
  <si>
    <t>Wk 28
Tue</t>
  </si>
  <si>
    <t>Day 191: Build classification model</t>
  </si>
  <si>
    <t>Wk 28
Wed</t>
  </si>
  <si>
    <t>Day 192: Train 10 epochs</t>
  </si>
  <si>
    <t>Wk 28
Thu</t>
  </si>
  <si>
    <t>Day 193: Evaluate accuracy</t>
  </si>
  <si>
    <t>Wk 28
Fri</t>
  </si>
  <si>
    <t>Day 194: Confusion matrix visualisation</t>
  </si>
  <si>
    <t>Wk 28
Sat</t>
  </si>
  <si>
    <t>Day 195: Improve with dropout</t>
  </si>
  <si>
    <t>Wk 28
Sun</t>
  </si>
  <si>
    <t>Day 196: PROJECT: Digit Recognition (MNIST)</t>
  </si>
  <si>
    <t>Wk 29
Mon</t>
  </si>
  <si>
    <t>Day 197: Convolution operation</t>
  </si>
  <si>
    <t>Wk 29
Tue</t>
  </si>
  <si>
    <t>Day 198: Filters &amp; feature maps</t>
  </si>
  <si>
    <t>Wk 29
Wed</t>
  </si>
  <si>
    <t>Day 199: Padding &amp; stride</t>
  </si>
  <si>
    <t>Wk 29
Thu</t>
  </si>
  <si>
    <t>Day 200: Max pooling &amp; average pooling</t>
  </si>
  <si>
    <t>Wk 29
Fri</t>
  </si>
  <si>
    <t>Day 201: CNN architecture design</t>
  </si>
  <si>
    <t>Wk 29
Sat</t>
  </si>
  <si>
    <t>Day 202: Build CNN in Keras</t>
  </si>
  <si>
    <t>Wk 29
Sun</t>
  </si>
  <si>
    <t>Day 203: TF CNN tutorial</t>
  </si>
  <si>
    <t>Wk 30
Mon</t>
  </si>
  <si>
    <t>Day 204: Image classification pipeline</t>
  </si>
  <si>
    <t>Wk 30
Tue</t>
  </si>
  <si>
    <t>Day 205: Data augmentation (ImageDataGenerator)</t>
  </si>
  <si>
    <t>Wk 30
Wed</t>
  </si>
  <si>
    <t>Day 206: Transfer learning concept</t>
  </si>
  <si>
    <t>Wk 30
Thu</t>
  </si>
  <si>
    <t>Day 207: Load VGG16 / ResNet50</t>
  </si>
  <si>
    <t>Wk 30
Fri</t>
  </si>
  <si>
    <t>Day 208: Fine-tune top layers</t>
  </si>
  <si>
    <t>Wk 30
Sat</t>
  </si>
  <si>
    <t>Day 209: Evaluate on test set</t>
  </si>
  <si>
    <t>Wk 30
Sun</t>
  </si>
  <si>
    <t>Day 210: PROJECT: Image Classifier App</t>
  </si>
  <si>
    <t>Wk 31
Mon</t>
  </si>
  <si>
    <t>Day 211: Sequence data concept</t>
  </si>
  <si>
    <t>Wk 31
Tue</t>
  </si>
  <si>
    <t>Day 212: RNN architecture</t>
  </si>
  <si>
    <t>Wk 31
Wed</t>
  </si>
  <si>
    <t>Day 213: Vanishing gradient problem</t>
  </si>
  <si>
    <t>Wk 31
Thu</t>
  </si>
  <si>
    <t>Day 214: LSTM architecture</t>
  </si>
  <si>
    <t>Wk 31
Fri</t>
  </si>
  <si>
    <t>Day 215: GRU architecture</t>
  </si>
  <si>
    <t>Wk 31
Sat</t>
  </si>
  <si>
    <t>Day 216: Build LSTM in Keras</t>
  </si>
  <si>
    <t>Wk 31
Sun</t>
  </si>
  <si>
    <t>Day 217: Sequence dataset practice</t>
  </si>
  <si>
    <t>Wk 32
Mon</t>
  </si>
  <si>
    <t>Day 218: Prepare text dataset</t>
  </si>
  <si>
    <t>Wk 32
Tue</t>
  </si>
  <si>
    <t>Day 219: Tokenization &amp; padding</t>
  </si>
  <si>
    <t>Wk 32
Wed</t>
  </si>
  <si>
    <t>Day 220: Embedding layer</t>
  </si>
  <si>
    <t>Wk 32
Thu</t>
  </si>
  <si>
    <t>Day 221: Train LSTM model</t>
  </si>
  <si>
    <t>Wk 32
Fri</t>
  </si>
  <si>
    <t>Day 222: Predict sequences</t>
  </si>
  <si>
    <t>Wk 32
Sat</t>
  </si>
  <si>
    <t>Day 223: Evaluate &amp; tune</t>
  </si>
  <si>
    <t>Wk 32
Sun</t>
  </si>
  <si>
    <t>Day 224: PROJECT: Text Sequence Predictor</t>
  </si>
  <si>
    <t>▲  END OF PHASE 5: Deep Learning  ▲</t>
  </si>
  <si>
    <t>Wk 33
Mon</t>
  </si>
  <si>
    <t>Day 225: Self-attention mechanism</t>
  </si>
  <si>
    <t>Hugging Face NLP → huggingface.co/learn/nlp-course  |  DeepLearning.AI Short Courses → deeplearning.ai/short-courses</t>
  </si>
  <si>
    <t>Wk 33
Tue</t>
  </si>
  <si>
    <t>Day 226: Multi-head attention</t>
  </si>
  <si>
    <t>Wk 33
Wed</t>
  </si>
  <si>
    <t>Day 227: Encoder architecture</t>
  </si>
  <si>
    <t>Wk 33
Thu</t>
  </si>
  <si>
    <t>Day 228: Decoder architecture</t>
  </si>
  <si>
    <t>Wk 33
Fri</t>
  </si>
  <si>
    <t>Day 229: Positional encoding</t>
  </si>
  <si>
    <t>Wk 33
Sat</t>
  </si>
  <si>
    <t>Day 230: Transformer architecture overview</t>
  </si>
  <si>
    <t>Wk 33
Sun</t>
  </si>
  <si>
    <t>Day 231: Read: Illustrated Transformer</t>
  </si>
  <si>
    <t>Wk 34
Mon</t>
  </si>
  <si>
    <t>Day 232: Tokenization – BPE &amp; WordPiece</t>
  </si>
  <si>
    <t>Wk 34
Tue</t>
  </si>
  <si>
    <t>Day 233: Word embeddings concept</t>
  </si>
  <si>
    <t>Wk 34
Wed</t>
  </si>
  <si>
    <t>Day 234: Word2Vec intuition</t>
  </si>
  <si>
    <t>Wk 34
Thu</t>
  </si>
  <si>
    <t>Day 235: GloVe embeddings</t>
  </si>
  <si>
    <t>Wk 34
Fri</t>
  </si>
  <si>
    <t>Day 236: TF-IDF vectorisation</t>
  </si>
  <si>
    <t>Wk 34
Sat</t>
  </si>
  <si>
    <t>Day 237: Hugging Face pipeline()</t>
  </si>
  <si>
    <t>Wk 34
Sun</t>
  </si>
  <si>
    <t>Day 238: NLP mini practice</t>
  </si>
  <si>
    <t>Wk 35
Mon</t>
  </si>
  <si>
    <t>Day 239: Zero-shot prompting</t>
  </si>
  <si>
    <t>Wk 35
Tue</t>
  </si>
  <si>
    <t>Day 240: Few-shot prompting</t>
  </si>
  <si>
    <t>Wk 35
Wed</t>
  </si>
  <si>
    <t>Day 241: Chain-of-thought prompting</t>
  </si>
  <si>
    <t>Wk 35
Thu</t>
  </si>
  <si>
    <t>Day 242: System vs user prompts</t>
  </si>
  <si>
    <t>Wk 35
Fri</t>
  </si>
  <si>
    <t>Day 243: Prompt patterns catalogue</t>
  </si>
  <si>
    <t>Wk 35
Sat</t>
  </si>
  <si>
    <t>Day 244: DeepLearning.AI Prompt Eng course</t>
  </si>
  <si>
    <t>Wk 35
Sun</t>
  </si>
  <si>
    <t>Day 245: Practice 10 prompt designs</t>
  </si>
  <si>
    <t>Wk 36
Mon</t>
  </si>
  <si>
    <t>Day 246: Vector databases concept</t>
  </si>
  <si>
    <t>Wk 36
Tue</t>
  </si>
  <si>
    <t>Day 247: Chroma DB setup</t>
  </si>
  <si>
    <t>Wk 36
Wed</t>
  </si>
  <si>
    <t>Day 248: Document chunking strategy</t>
  </si>
  <si>
    <t>Wk 36
Thu</t>
  </si>
  <si>
    <t>Day 249: Text embedding with OpenAI</t>
  </si>
  <si>
    <t>Wk 36
Fri</t>
  </si>
  <si>
    <t>Day 250: Similarity search (cosine)</t>
  </si>
  <si>
    <t>Wk 36
Sat</t>
  </si>
  <si>
    <t>Day 251: RAG pipeline build</t>
  </si>
  <si>
    <t>Wk 36
Sun</t>
  </si>
  <si>
    <t>Day 252: LangChain intro</t>
  </si>
  <si>
    <t>Wk 37
Mon</t>
  </si>
  <si>
    <t>Day 253: AI Agent loop concept</t>
  </si>
  <si>
    <t>Wk 37
Tue</t>
  </si>
  <si>
    <t>Day 254: Tool use &amp; function calling</t>
  </si>
  <si>
    <t>Wk 37
Wed</t>
  </si>
  <si>
    <t>Day 255: Agent frameworks overview</t>
  </si>
  <si>
    <t>Wk 37
Thu</t>
  </si>
  <si>
    <t>Day 256: Build simple LangChain agent</t>
  </si>
  <si>
    <t>Wk 37
Fri</t>
  </si>
  <si>
    <t>Day 257: crewAI intro</t>
  </si>
  <si>
    <t>Wk 37
Sat</t>
  </si>
  <si>
    <t>Day 258: AutoGen intro</t>
  </si>
  <si>
    <t>Wk 37
Sun</t>
  </si>
  <si>
    <t>Day 259: Multi-tool agent</t>
  </si>
  <si>
    <t>Wk 38
Mon</t>
  </si>
  <si>
    <t>Day 260: OpenAI API key setup</t>
  </si>
  <si>
    <t>Wk 38
Tue</t>
  </si>
  <si>
    <t>Day 261: Chat Completions API</t>
  </si>
  <si>
    <t>Wk 38
Wed</t>
  </si>
  <si>
    <t>Day 262: System &amp; user messages</t>
  </si>
  <si>
    <t>Wk 38
Thu</t>
  </si>
  <si>
    <t>Day 263: Temperature &amp; max_tokens</t>
  </si>
  <si>
    <t>Wk 38
Fri</t>
  </si>
  <si>
    <t>Day 264: Streaming responses</t>
  </si>
  <si>
    <t>Wk 38
Sat</t>
  </si>
  <si>
    <t>Day 265: Build AI chat app</t>
  </si>
  <si>
    <t>Wk 38
Sun</t>
  </si>
  <si>
    <t>Day 266: Function calling API</t>
  </si>
  <si>
    <t>Wk 39
Mon</t>
  </si>
  <si>
    <t>Day 267: Cursor IDE setup &amp; usage</t>
  </si>
  <si>
    <t>Wk 39
Tue</t>
  </si>
  <si>
    <t>Day 268: GitHub Copilot features</t>
  </si>
  <si>
    <t>Wk 39
Wed</t>
  </si>
  <si>
    <t>Day 269: Claude API basics</t>
  </si>
  <si>
    <t>Wk 39
Thu</t>
  </si>
  <si>
    <t>Day 270: Productivity with AI tools</t>
  </si>
  <si>
    <t>Wk 39
Fri</t>
  </si>
  <si>
    <t>Day 271: AI-assisted code review</t>
  </si>
  <si>
    <t>Wk 39
Sat</t>
  </si>
  <si>
    <t>Day 272: Build with AI tools</t>
  </si>
  <si>
    <t>Wk 39
Sun</t>
  </si>
  <si>
    <t>Day 273: Compare Cursor vs Copilot</t>
  </si>
  <si>
    <t>Wk 40
Mon</t>
  </si>
  <si>
    <t>Day 274: Multi-agent concepts</t>
  </si>
  <si>
    <t>Wk 40
Tue</t>
  </si>
  <si>
    <t>Day 275: Agent communication patterns</t>
  </si>
  <si>
    <t>Wk 40
Wed</t>
  </si>
  <si>
    <t>Day 276: crewAI project build</t>
  </si>
  <si>
    <t>Wk 40
Thu</t>
  </si>
  <si>
    <t>Day 277: Agent memory</t>
  </si>
  <si>
    <t>Wk 40
Fri</t>
  </si>
  <si>
    <t>Day 278: Orchestration patterns</t>
  </si>
  <si>
    <t>Wk 40
Sat</t>
  </si>
  <si>
    <t>Day 279: End-to-end testing</t>
  </si>
  <si>
    <t>Wk 40
Sun</t>
  </si>
  <si>
    <t>Day 280: PROJECT: GenAI Assistant (RAG + Agents)</t>
  </si>
  <si>
    <t>▲  END OF PHASE 6: GenAI &amp; Transformers  ▲</t>
  </si>
  <si>
    <t>Wk 41
Mon</t>
  </si>
  <si>
    <t>Day 281: Flask app setup &amp; routing</t>
  </si>
  <si>
    <t>freeCodeCamp Flask → youtube.com/watch?v=Qr4QMBUPxWo  |  TechWorld Docker → youtube.com/watch?v=3c-iBn73dDE</t>
  </si>
  <si>
    <t>Wk 41
Tue</t>
  </si>
  <si>
    <t>Day 282: GET &amp; POST requests</t>
  </si>
  <si>
    <t>Wk 41
Wed</t>
  </si>
  <si>
    <t>Day 283: REST API design principles</t>
  </si>
  <si>
    <t>Wk 41
Thu</t>
  </si>
  <si>
    <t>Day 284: JSON responses</t>
  </si>
  <si>
    <t>Wk 41
Fri</t>
  </si>
  <si>
    <t>Day 285: Serve ML model via Flask</t>
  </si>
  <si>
    <t>Wk 41
Sat</t>
  </si>
  <si>
    <t>Day 286: Postman API testing</t>
  </si>
  <si>
    <t>Wk 41
Sun</t>
  </si>
  <si>
    <t>Day 287: Error handling in Flask</t>
  </si>
  <si>
    <t>Wk 42
Mon</t>
  </si>
  <si>
    <t>Day 288: HTML structure &amp; semantics</t>
  </si>
  <si>
    <t>Wk 42
Tue</t>
  </si>
  <si>
    <t>Day 289: CSS styling &amp; flexbox</t>
  </si>
  <si>
    <t>Wk 42
Wed</t>
  </si>
  <si>
    <t>Day 290: CSS grid layout</t>
  </si>
  <si>
    <t>Wk 42
Thu</t>
  </si>
  <si>
    <t>Day 291: JavaScript basics</t>
  </si>
  <si>
    <t>Wk 42
Fri</t>
  </si>
  <si>
    <t>Day 292: DOM manipulation</t>
  </si>
  <si>
    <t>Wk 42
Sat</t>
  </si>
  <si>
    <t>Day 293: fetch() API calls</t>
  </si>
  <si>
    <t>Wk 42
Sun</t>
  </si>
  <si>
    <t>Day 294: Connect frontend to Flask</t>
  </si>
  <si>
    <t>Wk 43
Mon</t>
  </si>
  <si>
    <t>Day 295: SQL – SELECT &amp; WHERE</t>
  </si>
  <si>
    <t>Wk 43
Tue</t>
  </si>
  <si>
    <t>Day 296: SQL – JOINs (inner, left, right)</t>
  </si>
  <si>
    <t>Wk 43
Wed</t>
  </si>
  <si>
    <t>Day 297: SQL – GROUP BY &amp; aggregations</t>
  </si>
  <si>
    <t>Wk 43
Thu</t>
  </si>
  <si>
    <t>Day 298: Subqueries &amp; CTEs</t>
  </si>
  <si>
    <t>Wk 43
Fri</t>
  </si>
  <si>
    <t>Day 299: Git init, add, commit, push</t>
  </si>
  <si>
    <t>Wk 43
Sat</t>
  </si>
  <si>
    <t>Day 300: Branches &amp; merge</t>
  </si>
  <si>
    <t>Wk 43
Sun</t>
  </si>
  <si>
    <t>Day 301: GitHub pull requests</t>
  </si>
  <si>
    <t>Wk 44
Mon</t>
  </si>
  <si>
    <t>Day 302: Docker concepts &amp; benefits</t>
  </si>
  <si>
    <t>Wk 44
Tue</t>
  </si>
  <si>
    <t>Day 303: Dockerfile creation</t>
  </si>
  <si>
    <t>Wk 44
Wed</t>
  </si>
  <si>
    <t>Day 304: Build &amp; run Docker container</t>
  </si>
  <si>
    <t>Wk 44
Thu</t>
  </si>
  <si>
    <t>Day 305: Docker Compose for multi-service</t>
  </si>
  <si>
    <t>Wk 44
Fri</t>
  </si>
  <si>
    <t>Day 306: Kubernetes intro concepts</t>
  </si>
  <si>
    <t>Wk 44
Sat</t>
  </si>
  <si>
    <t>Day 307: Deploy app to container</t>
  </si>
  <si>
    <t>Wk 44
Sun</t>
  </si>
  <si>
    <t>Day 308: PROJECT: AI Web App (End-to-End)</t>
  </si>
  <si>
    <t>▲  END OF PHASE 7: Engineering Stack  ▲</t>
  </si>
  <si>
    <t>Wk 45
Mon</t>
  </si>
  <si>
    <t>Day 309: Finance AI – dataset selection</t>
  </si>
  <si>
    <t>Kaggle Competitions → kaggle.com/competitions  |  LeetCode → leetcode.com</t>
  </si>
  <si>
    <t>Wk 45
Tue</t>
  </si>
  <si>
    <t>Day 310: Finance AI – EDA &amp; cleaning</t>
  </si>
  <si>
    <t>Wk 45
Wed</t>
  </si>
  <si>
    <t>Day 311: Finance AI – feature engineering</t>
  </si>
  <si>
    <t>Wk 45
Thu</t>
  </si>
  <si>
    <t>Day 312: Finance AI – model selection</t>
  </si>
  <si>
    <t>Wk 45
Fri</t>
  </si>
  <si>
    <t>Day 313: Finance AI – train &amp; evaluate</t>
  </si>
  <si>
    <t>Wk 45
Sat</t>
  </si>
  <si>
    <t>Day 314: Finance AI – visualise results</t>
  </si>
  <si>
    <t>Wk 45
Sun</t>
  </si>
  <si>
    <t>Day 315: Finance AI – deploy app</t>
  </si>
  <si>
    <t>Wk 46
Mon</t>
  </si>
  <si>
    <t>Day 316: Medical/RecSys – dataset</t>
  </si>
  <si>
    <t>Wk 46
Tue</t>
  </si>
  <si>
    <t>Day 317: Medical/RecSys – preprocessing</t>
  </si>
  <si>
    <t>Wk 46
Wed</t>
  </si>
  <si>
    <t>Day 318: Medical/RecSys – model build</t>
  </si>
  <si>
    <t>Wk 46
Thu</t>
  </si>
  <si>
    <t>Day 319: Medical/RecSys – evaluation</t>
  </si>
  <si>
    <t>Wk 46
Fri</t>
  </si>
  <si>
    <t>Day 320: Add project to GitHub</t>
  </si>
  <si>
    <t>Wk 46
Sat</t>
  </si>
  <si>
    <t>Day 321: Write project README</t>
  </si>
  <si>
    <t>Wk 46
Sun</t>
  </si>
  <si>
    <t>Day 322: Share on LinkedIn</t>
  </si>
  <si>
    <t>Wk 47
Mon</t>
  </si>
  <si>
    <t>Day 323: Clean all GitHub repos</t>
  </si>
  <si>
    <t>Wk 47
Tue</t>
  </si>
  <si>
    <t>Day 324: Write READMEs for all projects</t>
  </si>
  <si>
    <t>Wk 47
Wed</t>
  </si>
  <si>
    <t>Day 325: Polish LinkedIn profile</t>
  </si>
  <si>
    <t>Wk 47
Thu</t>
  </si>
  <si>
    <t>Day 326: Write 1-page resume</t>
  </si>
  <si>
    <t>Wk 47
Fri</t>
  </si>
  <si>
    <t>Day 327: Record demo videos (Loom)</t>
  </si>
  <si>
    <t>Wk 47
Sat</t>
  </si>
  <si>
    <t>Day 328: Build portfolio website</t>
  </si>
  <si>
    <t>Wk 47
Sun</t>
  </si>
  <si>
    <t>Day 329: Share portfolio publicly</t>
  </si>
  <si>
    <t>Wk 48
Mon</t>
  </si>
  <si>
    <t>Day 330: ML theory Q&amp;A practice</t>
  </si>
  <si>
    <t>Wk 48
Tue</t>
  </si>
  <si>
    <t>Day 331: LeetCode – arrays &amp; strings</t>
  </si>
  <si>
    <t>Wk 48
Wed</t>
  </si>
  <si>
    <t>Day 332: LeetCode – trees &amp; graphs</t>
  </si>
  <si>
    <t>Wk 48
Thu</t>
  </si>
  <si>
    <t>Day 333: System design: ML pipeline</t>
  </si>
  <si>
    <t>Wk 48
Fri</t>
  </si>
  <si>
    <t>Day 334: Mock interview 1 (with friend)</t>
  </si>
  <si>
    <t>Wk 48
Sat</t>
  </si>
  <si>
    <t>Day 335: Mock interview 2 (Pramp/Interviewing.io)</t>
  </si>
  <si>
    <t>Wk 48
Sun</t>
  </si>
  <si>
    <t>Day 336: YOU ARE JOB READY! 🎉</t>
  </si>
  <si>
    <t>▲  END OF PHASE 8: Projects &amp; Job Prep  ▲</t>
  </si>
  <si>
    <t>📚  RESOURCES QUICK REFERENCE</t>
  </si>
  <si>
    <t>#</t>
  </si>
  <si>
    <t>Phase</t>
  </si>
  <si>
    <t>Duration</t>
  </si>
  <si>
    <t>Primary Resource</t>
  </si>
  <si>
    <t>URL</t>
  </si>
  <si>
    <t>Project</t>
  </si>
  <si>
    <t>Helsinki MOOC + Corey Schafer OOP</t>
  </si>
  <si>
    <t>https://programming-mooc.fi  |  youtube.com/playlist?list=PL-osiE80TeTsqhIuOqKhwlXsIBIdSeYtc</t>
  </si>
  <si>
    <t>Library Management System</t>
  </si>
  <si>
    <t>Kaggle Learn Pandas + freeCodeCamp</t>
  </si>
  <si>
    <t>https://kaggle.com/learn/pandas  |  youtube.com/watch?v=r-uOLxNrNk8</t>
  </si>
  <si>
    <t>Sales Data Dashboard</t>
  </si>
  <si>
    <t>StatQuest (YouTube) + Khan Academy</t>
  </si>
  <si>
    <t>https://youtube.com/c/joshstarmer  |  khanacademy.org/math/statistics-probability</t>
  </si>
  <si>
    <t>Statistical Analysis Report</t>
  </si>
  <si>
    <t>Andrew Ng ML Specialization (Coursera)</t>
  </si>
  <si>
    <t>https://coursera.org/specializations/machine-learning-introduction</t>
  </si>
  <si>
    <t>House Price Prediction + Customer Segmentation</t>
  </si>
  <si>
    <t>DeepLearning.AI + TF/PyTorch Tutorials</t>
  </si>
  <si>
    <t>https://coursera.org/specializations/deep-learning  |  tensorflow.org/tutorials</t>
  </si>
  <si>
    <t>Digit Recognition + Image Classifier</t>
  </si>
  <si>
    <t>Hugging Face NLP + DeepLearning.AI Courses</t>
  </si>
  <si>
    <t>https://huggingface.co/learn/nlp-course  |  deeplearning.ai/short-courses</t>
  </si>
  <si>
    <t>GenAI Assistant (RAG + Agents)</t>
  </si>
  <si>
    <t>freeCodeCamp Flask + TechWorld w/ Nana</t>
  </si>
  <si>
    <t>https://youtube.com/watch?v=Qr4QMBUPxWo  |  youtube.com/watch?v=3c-iBn73dDE</t>
  </si>
  <si>
    <t>AI Web Application (End-to-End)</t>
  </si>
  <si>
    <t>Kaggle Competitions + LeetCode</t>
  </si>
  <si>
    <t>https://kaggle.com/competitions  |  leetcode.com</t>
  </si>
  <si>
    <t>Industry-Grade GenAI System (Capstone)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</si>
</sst>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"/>
    <numFmt numFmtId="181" formatCode="dd/mm/yyyy"/>
    <numFmt numFmtId="182" formatCode="0.0\%"/>
  </numFmts>
  <fonts count="70">
    <font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4F46E5"/>
      <name val="Arial"/>
      <charset val="1"/>
    </font>
    <font>
      <sz val="9"/>
      <color rgb="FF374151"/>
      <name val="Arial"/>
      <charset val="1"/>
    </font>
    <font>
      <sz val="8"/>
      <color rgb="FF2563EB"/>
      <name val="Arial"/>
      <charset val="1"/>
    </font>
    <font>
      <b/>
      <sz val="10"/>
      <color rgb="FF16A34A"/>
      <name val="Arial"/>
      <charset val="1"/>
    </font>
    <font>
      <b/>
      <sz val="10"/>
      <color rgb="FFD97706"/>
      <name val="Arial"/>
      <charset val="1"/>
    </font>
    <font>
      <b/>
      <sz val="10"/>
      <color rgb="FF9333EA"/>
      <name val="Arial"/>
      <charset val="1"/>
    </font>
    <font>
      <b/>
      <sz val="10"/>
      <color rgb="FFDC2626"/>
      <name val="Arial"/>
      <charset val="1"/>
    </font>
    <font>
      <b/>
      <sz val="10"/>
      <color rgb="FF0D9488"/>
      <name val="Arial"/>
      <charset val="1"/>
    </font>
    <font>
      <b/>
      <sz val="10"/>
      <color rgb="FF2563EB"/>
      <name val="Arial"/>
      <charset val="1"/>
    </font>
    <font>
      <b/>
      <sz val="10"/>
      <color rgb="FF6B7280"/>
      <name val="Arial"/>
      <charset val="1"/>
    </font>
    <font>
      <b/>
      <sz val="16"/>
      <color rgb="FFFFFFFF"/>
      <name val="Arial"/>
      <charset val="1"/>
    </font>
    <font>
      <b/>
      <sz val="11"/>
      <color rgb="FF4F46E5"/>
      <name val="Arial"/>
      <charset val="1"/>
    </font>
    <font>
      <sz val="9"/>
      <color rgb="FF4B5563"/>
      <name val="Arial"/>
      <charset val="1"/>
    </font>
    <font>
      <sz val="9"/>
      <color rgb="FF6B7280"/>
      <name val="Arial"/>
      <charset val="1"/>
    </font>
    <font>
      <b/>
      <sz val="9"/>
      <color rgb="FF4F46E5"/>
      <name val="Arial"/>
      <charset val="1"/>
    </font>
    <font>
      <sz val="9"/>
      <color rgb="FF9CA3AF"/>
      <name val="Arial"/>
      <charset val="1"/>
    </font>
    <font>
      <b/>
      <sz val="14"/>
      <color rgb="FF22C55E"/>
      <name val="Arial"/>
      <charset val="1"/>
    </font>
    <font>
      <b/>
      <sz val="9"/>
      <color rgb="FF9CA3AF"/>
      <name val="Arial"/>
      <charset val="1"/>
    </font>
    <font>
      <sz val="10"/>
      <name val="Arial"/>
      <charset val="1"/>
    </font>
    <font>
      <sz val="10"/>
      <color rgb="FF111827"/>
      <name val="Arial"/>
      <charset val="1"/>
    </font>
    <font>
      <b/>
      <sz val="9"/>
      <color rgb="FFFFFFFF"/>
      <name val="Arial"/>
      <charset val="1"/>
    </font>
    <font>
      <b/>
      <sz val="11"/>
      <color rgb="FF16A34A"/>
      <name val="Arial"/>
      <charset val="1"/>
    </font>
    <font>
      <b/>
      <sz val="9"/>
      <color rgb="FF16A34A"/>
      <name val="Arial"/>
      <charset val="1"/>
    </font>
    <font>
      <b/>
      <sz val="11"/>
      <color rgb="FFD97706"/>
      <name val="Arial"/>
      <charset val="1"/>
    </font>
    <font>
      <b/>
      <sz val="9"/>
      <color rgb="FFD97706"/>
      <name val="Arial"/>
      <charset val="1"/>
    </font>
    <font>
      <b/>
      <sz val="11"/>
      <color rgb="FF9333EA"/>
      <name val="Arial"/>
      <charset val="1"/>
    </font>
    <font>
      <b/>
      <sz val="9"/>
      <color rgb="FF9333EA"/>
      <name val="Arial"/>
      <charset val="1"/>
    </font>
    <font>
      <b/>
      <sz val="11"/>
      <color rgb="FFDC2626"/>
      <name val="Arial"/>
      <charset val="1"/>
    </font>
    <font>
      <b/>
      <sz val="9"/>
      <color rgb="FFDC2626"/>
      <name val="Arial"/>
      <charset val="1"/>
    </font>
    <font>
      <b/>
      <sz val="11"/>
      <color rgb="FF0D9488"/>
      <name val="Arial"/>
      <charset val="1"/>
    </font>
    <font>
      <b/>
      <sz val="9"/>
      <color rgb="FF0D9488"/>
      <name val="Arial"/>
      <charset val="1"/>
    </font>
    <font>
      <b/>
      <sz val="11"/>
      <color rgb="FF2563EB"/>
      <name val="Arial"/>
      <charset val="1"/>
    </font>
    <font>
      <b/>
      <sz val="9"/>
      <color rgb="FF2563EB"/>
      <name val="Arial"/>
      <charset val="1"/>
    </font>
    <font>
      <b/>
      <sz val="11"/>
      <color rgb="FF6B7280"/>
      <name val="Arial"/>
      <charset val="1"/>
    </font>
    <font>
      <b/>
      <sz val="9"/>
      <color rgb="FF6B7280"/>
      <name val="Arial"/>
      <charset val="1"/>
    </font>
    <font>
      <b/>
      <sz val="22"/>
      <color rgb="FFFFFFFF"/>
      <name val="Arial"/>
      <charset val="1"/>
    </font>
    <font>
      <i/>
      <sz val="11"/>
      <color rgb="FF6B7280"/>
      <name val="Arial"/>
      <charset val="1"/>
    </font>
    <font>
      <b/>
      <sz val="26"/>
      <color rgb="FF22C55E"/>
      <name val="Arial"/>
      <charset val="1"/>
    </font>
    <font>
      <b/>
      <sz val="26"/>
      <color rgb="FFF59E0B"/>
      <name val="Arial"/>
      <charset val="1"/>
    </font>
    <font>
      <b/>
      <sz val="26"/>
      <color rgb="FF6C63FF"/>
      <name val="Arial"/>
      <charset val="1"/>
    </font>
    <font>
      <b/>
      <sz val="26"/>
      <color rgb="FFDC2626"/>
      <name val="Arial"/>
      <charset val="1"/>
    </font>
    <font>
      <sz val="10"/>
      <color rgb="FF4B5563"/>
      <name val="Arial"/>
      <charset val="1"/>
    </font>
    <font>
      <i/>
      <sz val="10"/>
      <color rgb="FF1E40AF"/>
      <name val="Arial"/>
      <charset val="1"/>
    </font>
    <font>
      <i/>
      <sz val="10"/>
      <color rgb="FF065F46"/>
      <name val="Arial"/>
      <charset val="1"/>
    </font>
    <font>
      <b/>
      <sz val="26"/>
      <color rgb="FF0D9488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0"/>
      <color rgb="FF1E40AF"/>
      <name val="Times New Roman"/>
      <charset val="1"/>
    </font>
  </fonts>
  <fills count="59">
    <fill>
      <patternFill patternType="none"/>
    </fill>
    <fill>
      <patternFill patternType="gray125"/>
    </fill>
    <fill>
      <patternFill patternType="solid">
        <fgColor rgb="FF1E1B4B"/>
        <bgColor rgb="FF111827"/>
      </patternFill>
    </fill>
    <fill>
      <patternFill patternType="solid">
        <fgColor rgb="FF374151"/>
        <bgColor rgb="FF4B5563"/>
      </patternFill>
    </fill>
    <fill>
      <patternFill patternType="solid">
        <fgColor rgb="FF4F46E5"/>
        <bgColor rgb="FF6C63FF"/>
      </patternFill>
    </fill>
    <fill>
      <patternFill patternType="solid">
        <fgColor rgb="FFEEF2FF"/>
        <bgColor rgb="FFEFF6FF"/>
      </patternFill>
    </fill>
    <fill>
      <patternFill patternType="solid">
        <fgColor rgb="FFF8FAFC"/>
        <bgColor rgb="FFF9FAFB"/>
      </patternFill>
    </fill>
    <fill>
      <patternFill patternType="solid">
        <fgColor rgb="FF16A34A"/>
        <bgColor rgb="FF0D9488"/>
      </patternFill>
    </fill>
    <fill>
      <patternFill patternType="solid">
        <fgColor rgb="FFF0FDF4"/>
        <bgColor rgb="FFF0FDFA"/>
      </patternFill>
    </fill>
    <fill>
      <patternFill patternType="solid">
        <fgColor rgb="FFFFFFFF"/>
        <bgColor rgb="FFF9FAFB"/>
      </patternFill>
    </fill>
    <fill>
      <patternFill patternType="solid">
        <fgColor rgb="FFD97706"/>
        <bgColor rgb="FFF59E0B"/>
      </patternFill>
    </fill>
    <fill>
      <patternFill patternType="solid">
        <fgColor rgb="FFFFFBEB"/>
        <bgColor rgb="FFF9FAFB"/>
      </patternFill>
    </fill>
    <fill>
      <patternFill patternType="solid">
        <fgColor rgb="FF9333EA"/>
        <bgColor rgb="FF4F46E5"/>
      </patternFill>
    </fill>
    <fill>
      <patternFill patternType="solid">
        <fgColor rgb="FFFAF5FF"/>
        <bgColor rgb="FFF9FAFB"/>
      </patternFill>
    </fill>
    <fill>
      <patternFill patternType="solid">
        <fgColor rgb="FFDC2626"/>
        <bgColor rgb="FF991B1B"/>
      </patternFill>
    </fill>
    <fill>
      <patternFill patternType="solid">
        <fgColor rgb="FFFEF2F2"/>
        <bgColor rgb="FFFAF5FF"/>
      </patternFill>
    </fill>
    <fill>
      <patternFill patternType="solid">
        <fgColor rgb="FF0D9488"/>
        <bgColor rgb="FF16A34A"/>
      </patternFill>
    </fill>
    <fill>
      <patternFill patternType="solid">
        <fgColor rgb="FFF0FDFA"/>
        <bgColor rgb="FFF0FDF4"/>
      </patternFill>
    </fill>
    <fill>
      <patternFill patternType="solid">
        <fgColor rgb="FF2563EB"/>
        <bgColor rgb="FF4F46E5"/>
      </patternFill>
    </fill>
    <fill>
      <patternFill patternType="solid">
        <fgColor rgb="FFEFF6FF"/>
        <bgColor rgb="FFEEF2FF"/>
      </patternFill>
    </fill>
    <fill>
      <patternFill patternType="solid">
        <fgColor rgb="FF6B7280"/>
        <bgColor rgb="FF4B5563"/>
      </patternFill>
    </fill>
    <fill>
      <patternFill patternType="solid">
        <fgColor rgb="FFF9FAFB"/>
        <bgColor rgb="FFF8FAFC"/>
      </patternFill>
    </fill>
    <fill>
      <patternFill patternType="solid">
        <fgColor rgb="FFF3F4F6"/>
        <bgColor rgb="FFEFF6FF"/>
      </patternFill>
    </fill>
    <fill>
      <patternFill patternType="solid">
        <fgColor rgb="FF22C55E"/>
        <bgColor rgb="FF16A34A"/>
      </patternFill>
    </fill>
    <fill>
      <patternFill patternType="solid">
        <fgColor rgb="FFF59E0B"/>
        <bgColor rgb="FFD97706"/>
      </patternFill>
    </fill>
    <fill>
      <patternFill patternType="solid">
        <fgColor rgb="FF6C63FF"/>
        <bgColor rgb="FF4F46E5"/>
      </patternFill>
    </fill>
    <fill>
      <patternFill patternType="solid">
        <fgColor rgb="FFDBEAFE"/>
        <bgColor rgb="FFE5E7EB"/>
      </patternFill>
    </fill>
    <fill>
      <patternFill patternType="solid">
        <fgColor rgb="FFD1FAE5"/>
        <bgColor rgb="FFDCFC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medium">
        <color rgb="FF6C63FF"/>
      </left>
      <right style="medium">
        <color rgb="FF6C63FF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93C5FD"/>
      </left>
      <right/>
      <top style="thin">
        <color rgb="FF93C5FD"/>
      </top>
      <bottom style="thin">
        <color rgb="FF93C5FD"/>
      </bottom>
      <diagonal/>
    </border>
    <border>
      <left style="thin">
        <color rgb="FF6EE7B7"/>
      </left>
      <right/>
      <top style="thin">
        <color rgb="FF6EE7B7"/>
      </top>
      <bottom style="thin">
        <color rgb="FF6EE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8" fillId="0" borderId="0" applyBorder="0" applyAlignment="0" applyProtection="0"/>
    <xf numFmtId="177" fontId="48" fillId="0" borderId="0" applyBorder="0" applyAlignment="0" applyProtection="0"/>
    <xf numFmtId="9" fontId="48" fillId="0" borderId="0" applyBorder="0" applyAlignment="0" applyProtection="0"/>
    <xf numFmtId="178" fontId="48" fillId="0" borderId="0" applyBorder="0" applyAlignment="0" applyProtection="0"/>
    <xf numFmtId="179" fontId="48" fillId="0" borderId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8" borderId="8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29" borderId="11" applyNumberFormat="0" applyAlignment="0" applyProtection="0">
      <alignment vertical="center"/>
    </xf>
    <xf numFmtId="0" fontId="59" fillId="30" borderId="12" applyNumberFormat="0" applyAlignment="0" applyProtection="0">
      <alignment vertical="center"/>
    </xf>
    <xf numFmtId="0" fontId="60" fillId="30" borderId="11" applyNumberFormat="0" applyAlignment="0" applyProtection="0">
      <alignment vertical="center"/>
    </xf>
    <xf numFmtId="0" fontId="61" fillId="31" borderId="13" applyNumberFormat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63" fillId="0" borderId="15" applyNumberFormat="0" applyFill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7" fillId="58" borderId="0" applyNumberFormat="0" applyBorder="0" applyAlignment="0" applyProtection="0">
      <alignment vertical="center"/>
    </xf>
  </cellStyleXfs>
  <cellXfs count="139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0" fillId="22" borderId="0" xfId="0" applyFill="1"/>
    <xf numFmtId="0" fontId="20" fillId="0" borderId="0" xfId="0" applyFont="1"/>
    <xf numFmtId="0" fontId="0" fillId="0" borderId="0" xfId="0" applyFont="1"/>
    <xf numFmtId="0" fontId="21" fillId="0" borderId="0" xfId="0" applyFont="1"/>
    <xf numFmtId="0" fontId="22" fillId="9" borderId="1" xfId="0" applyFont="1" applyFill="1" applyBorder="1" applyAlignment="1">
      <alignment horizontal="left" vertical="center" wrapText="1"/>
    </xf>
    <xf numFmtId="180" fontId="21" fillId="0" borderId="0" xfId="0" applyNumberFormat="1" applyFont="1"/>
    <xf numFmtId="181" fontId="0" fillId="0" borderId="0" xfId="0" applyNumberFormat="1"/>
    <xf numFmtId="0" fontId="23" fillId="4" borderId="0" xfId="0" applyFont="1" applyFill="1" applyBorder="1" applyAlignment="1">
      <alignment horizontal="center" vertical="center" wrapText="1"/>
    </xf>
    <xf numFmtId="0" fontId="0" fillId="9" borderId="0" xfId="0" applyFill="1"/>
    <xf numFmtId="0" fontId="24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23" fillId="7" borderId="0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23" fillId="10" borderId="0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23" fillId="12" borderId="0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left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23" fillId="14" borderId="0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left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23" fillId="16" borderId="0" xfId="0" applyFont="1" applyFill="1" applyBorder="1" applyAlignment="1">
      <alignment horizontal="center" vertical="center" wrapText="1"/>
    </xf>
    <xf numFmtId="0" fontId="34" fillId="19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35" fillId="19" borderId="1" xfId="0" applyFont="1" applyFill="1" applyBorder="1" applyAlignment="1">
      <alignment horizontal="left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23" fillId="18" borderId="0" xfId="0" applyFont="1" applyFill="1" applyBorder="1" applyAlignment="1">
      <alignment horizontal="center" vertical="center" wrapText="1"/>
    </xf>
    <xf numFmtId="0" fontId="36" fillId="21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16" fillId="21" borderId="1" xfId="0" applyFont="1" applyFill="1" applyBorder="1" applyAlignment="1">
      <alignment horizontal="center" vertical="center" wrapText="1"/>
    </xf>
    <xf numFmtId="0" fontId="37" fillId="21" borderId="1" xfId="0" applyFont="1" applyFill="1" applyBorder="1" applyAlignment="1">
      <alignment horizontal="left" vertical="center" wrapText="1"/>
    </xf>
    <xf numFmtId="0" fontId="18" fillId="21" borderId="1" xfId="0" applyFont="1" applyFill="1" applyBorder="1" applyAlignment="1">
      <alignment horizontal="center" vertical="center" wrapText="1"/>
    </xf>
    <xf numFmtId="0" fontId="23" fillId="20" borderId="0" xfId="0" applyFont="1" applyFill="1" applyBorder="1" applyAlignment="1">
      <alignment horizontal="center" vertical="center" wrapText="1"/>
    </xf>
    <xf numFmtId="0" fontId="38" fillId="2" borderId="0" xfId="0" applyFont="1" applyFill="1" applyBorder="1" applyAlignment="1">
      <alignment horizontal="center" vertical="center"/>
    </xf>
    <xf numFmtId="0" fontId="39" fillId="5" borderId="0" xfId="0" applyFont="1" applyFill="1" applyBorder="1" applyAlignment="1">
      <alignment horizontal="center" vertical="center"/>
    </xf>
    <xf numFmtId="0" fontId="23" fillId="23" borderId="0" xfId="0" applyFont="1" applyFill="1" applyBorder="1" applyAlignment="1">
      <alignment horizontal="center" vertical="center" wrapText="1"/>
    </xf>
    <xf numFmtId="0" fontId="23" fillId="24" borderId="0" xfId="0" applyFont="1" applyFill="1" applyBorder="1" applyAlignment="1">
      <alignment horizontal="center" vertical="center" wrapText="1"/>
    </xf>
    <xf numFmtId="0" fontId="23" fillId="25" borderId="0" xfId="0" applyFont="1" applyFill="1" applyBorder="1" applyAlignment="1">
      <alignment horizontal="center" vertical="center" wrapText="1"/>
    </xf>
    <xf numFmtId="0" fontId="40" fillId="21" borderId="4" xfId="0" applyFont="1" applyFill="1" applyBorder="1" applyAlignment="1">
      <alignment horizontal="center" vertical="center" wrapText="1"/>
    </xf>
    <xf numFmtId="0" fontId="41" fillId="21" borderId="4" xfId="0" applyFont="1" applyFill="1" applyBorder="1" applyAlignment="1">
      <alignment horizontal="center" vertical="center" wrapText="1"/>
    </xf>
    <xf numFmtId="0" fontId="42" fillId="21" borderId="4" xfId="0" applyFont="1" applyFill="1" applyBorder="1" applyAlignment="1">
      <alignment horizontal="center" vertical="center" wrapText="1"/>
    </xf>
    <xf numFmtId="0" fontId="43" fillId="21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4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left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horizontal="left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44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15" borderId="5" xfId="0" applyFont="1" applyFill="1" applyBorder="1" applyAlignment="1">
      <alignment horizontal="left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44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0" fillId="17" borderId="5" xfId="0" applyFont="1" applyFill="1" applyBorder="1" applyAlignment="1">
      <alignment horizontal="left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1" fillId="19" borderId="5" xfId="0" applyFont="1" applyFill="1" applyBorder="1" applyAlignment="1">
      <alignment horizontal="left" vertical="center" wrapText="1"/>
    </xf>
    <xf numFmtId="0" fontId="15" fillId="19" borderId="5" xfId="0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2" fillId="21" borderId="5" xfId="0" applyFont="1" applyFill="1" applyBorder="1" applyAlignment="1">
      <alignment horizontal="left" vertical="center" wrapText="1"/>
    </xf>
    <xf numFmtId="0" fontId="15" fillId="21" borderId="5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45" fillId="26" borderId="6" xfId="0" applyFont="1" applyFill="1" applyBorder="1" applyAlignment="1">
      <alignment horizontal="left" vertical="center" wrapText="1"/>
    </xf>
    <xf numFmtId="0" fontId="46" fillId="27" borderId="7" xfId="0" applyFont="1" applyFill="1" applyBorder="1" applyAlignment="1">
      <alignment horizontal="left" vertical="center" wrapText="1"/>
    </xf>
    <xf numFmtId="182" fontId="47" fillId="21" borderId="4" xfId="0" applyNumberFormat="1" applyFont="1" applyFill="1" applyBorder="1" applyAlignment="1">
      <alignment horizontal="center" vertical="center" wrapText="1"/>
    </xf>
    <xf numFmtId="9" fontId="3" fillId="5" borderId="5" xfId="0" applyNumberFormat="1" applyFont="1" applyFill="1" applyBorder="1" applyAlignment="1">
      <alignment horizontal="center" vertical="center" wrapText="1"/>
    </xf>
    <xf numFmtId="9" fontId="6" fillId="8" borderId="5" xfId="0" applyNumberFormat="1" applyFont="1" applyFill="1" applyBorder="1" applyAlignment="1">
      <alignment horizontal="center" vertical="center" wrapText="1"/>
    </xf>
    <xf numFmtId="9" fontId="7" fillId="11" borderId="5" xfId="0" applyNumberFormat="1" applyFont="1" applyFill="1" applyBorder="1" applyAlignment="1">
      <alignment horizontal="center" vertical="center" wrapText="1"/>
    </xf>
    <xf numFmtId="9" fontId="8" fillId="13" borderId="5" xfId="0" applyNumberFormat="1" applyFont="1" applyFill="1" applyBorder="1" applyAlignment="1">
      <alignment horizontal="center" vertical="center" wrapText="1"/>
    </xf>
    <xf numFmtId="9" fontId="9" fillId="15" borderId="5" xfId="0" applyNumberFormat="1" applyFont="1" applyFill="1" applyBorder="1" applyAlignment="1">
      <alignment horizontal="center" vertical="center" wrapText="1"/>
    </xf>
    <xf numFmtId="9" fontId="10" fillId="17" borderId="5" xfId="0" applyNumberFormat="1" applyFont="1" applyFill="1" applyBorder="1" applyAlignment="1">
      <alignment horizontal="center" vertical="center" wrapText="1"/>
    </xf>
    <xf numFmtId="9" fontId="11" fillId="19" borderId="5" xfId="0" applyNumberFormat="1" applyFont="1" applyFill="1" applyBorder="1" applyAlignment="1">
      <alignment horizontal="center" vertical="center" wrapText="1"/>
    </xf>
    <xf numFmtId="9" fontId="12" fillId="21" borderId="5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Arial"/>
        <scheme val="none"/>
        <charset val="1"/>
        <family val="0"/>
        <sz val="10"/>
        <color rgb="FF166534"/>
      </font>
      <fill>
        <patternFill patternType="solid">
          <bgColor rgb="FFDCFCE7"/>
        </patternFill>
      </fill>
    </dxf>
    <dxf>
      <font>
        <name val="Arial"/>
        <scheme val="none"/>
        <charset val="1"/>
        <family val="0"/>
        <sz val="10"/>
        <color rgb="FF991B1B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66534"/>
      <rgbColor rgb="00000080"/>
      <rgbColor rgb="00808000"/>
      <rgbColor rgb="00800080"/>
      <rgbColor rgb="000D9488"/>
      <rgbColor rgb="00E5E7EB"/>
      <rgbColor rgb="00F9FAFB"/>
      <rgbColor rgb="006C63FF"/>
      <rgbColor rgb="009333EA"/>
      <rgbColor rgb="00FFFBEB"/>
      <rgbColor rgb="00DCFCE7"/>
      <rgbColor rgb="00660066"/>
      <rgbColor rgb="00EFF6FF"/>
      <rgbColor rgb="004F46E5"/>
      <rgbColor rgb="00D1D5DB"/>
      <rgbColor rgb="00000080"/>
      <rgbColor rgb="00FF00FF"/>
      <rgbColor rgb="00F0FDFA"/>
      <rgbColor rgb="0000FFFF"/>
      <rgbColor rgb="00800080"/>
      <rgbColor rgb="00800000"/>
      <rgbColor rgb="00065F46"/>
      <rgbColor rgb="000000FF"/>
      <rgbColor rgb="0000CCFF"/>
      <rgbColor rgb="00DBEAFE"/>
      <rgbColor rgb="00D1FAE5"/>
      <rgbColor rgb="00FEF2F2"/>
      <rgbColor rgb="0093C5FD"/>
      <rgbColor rgb="00F3F4F6"/>
      <rgbColor rgb="00EEF2FF"/>
      <rgbColor rgb="00FEE2E2"/>
      <rgbColor rgb="002563EB"/>
      <rgbColor rgb="0022C55E"/>
      <rgbColor rgb="00F8FAFC"/>
      <rgbColor rgb="00FAF5FF"/>
      <rgbColor rgb="00F59E0B"/>
      <rgbColor rgb="00D97706"/>
      <rgbColor rgb="006B7280"/>
      <rgbColor rgb="009CA3AF"/>
      <rgbColor rgb="001E1B4B"/>
      <rgbColor rgb="0016A34A"/>
      <rgbColor rgb="00111827"/>
      <rgbColor rgb="004B5563"/>
      <rgbColor rgb="00991B1B"/>
      <rgbColor rgb="00993366"/>
      <rgbColor rgb="001E40AF"/>
      <rgbColor rgb="00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1"/>
  <sheetViews>
    <sheetView showGridLines="0" zoomScale="88" zoomScaleNormal="88" topLeftCell="A2" workbookViewId="0">
      <selection activeCell="L13" sqref="L13"/>
    </sheetView>
  </sheetViews>
  <sheetFormatPr defaultColWidth="8.67592592592593" defaultRowHeight="14.4"/>
  <cols>
    <col min="1" max="1" width="5" customWidth="1"/>
    <col min="2" max="11" width="12" customWidth="1"/>
  </cols>
  <sheetData>
    <row r="1" ht="60" customHeight="1"/>
    <row r="2" ht="28.2" spans="2:12">
      <c r="B2" s="84" t="s">
        <v>0</v>
      </c>
      <c r="C2" s="84"/>
      <c r="D2" s="84"/>
      <c r="E2" s="84"/>
      <c r="F2" s="84"/>
      <c r="G2" s="84"/>
      <c r="H2" s="84"/>
      <c r="I2" s="84"/>
      <c r="J2" s="84"/>
      <c r="K2" s="84"/>
      <c r="L2" s="84"/>
    </row>
    <row r="3" ht="21.75" customHeight="1" spans="2:12">
      <c r="B3" s="85" t="s">
        <v>1</v>
      </c>
      <c r="C3" s="85"/>
      <c r="D3" s="85"/>
      <c r="E3" s="85"/>
      <c r="F3" s="85"/>
      <c r="G3" s="85"/>
      <c r="H3" s="85"/>
      <c r="I3" s="85"/>
      <c r="J3" s="85"/>
      <c r="K3" s="85"/>
      <c r="L3" s="85"/>
    </row>
    <row r="5" ht="18" customHeight="1" spans="2:11">
      <c r="B5" s="86" t="s">
        <v>2</v>
      </c>
      <c r="C5" s="86"/>
      <c r="D5" s="87" t="s">
        <v>3</v>
      </c>
      <c r="E5" s="87"/>
      <c r="F5" s="88" t="s">
        <v>4</v>
      </c>
      <c r="G5" s="88"/>
      <c r="H5" s="65" t="s">
        <v>5</v>
      </c>
      <c r="I5" s="65"/>
      <c r="J5" s="71" t="s">
        <v>6</v>
      </c>
      <c r="K5" s="71"/>
    </row>
    <row r="6" ht="49.5" customHeight="1" spans="2:11">
      <c r="B6" s="89">
        <f>'📅 Tracker'!P2</f>
        <v>14</v>
      </c>
      <c r="C6" s="89"/>
      <c r="D6" s="90">
        <f>'📅 Tracker'!P3</f>
        <v>322</v>
      </c>
      <c r="E6" s="90"/>
      <c r="F6" s="91">
        <f>'📅 Tracker'!P4</f>
        <v>14</v>
      </c>
      <c r="G6" s="91"/>
      <c r="H6" s="92">
        <f>'📅 Tracker'!P5</f>
        <v>14</v>
      </c>
      <c r="I6" s="92"/>
      <c r="J6" s="130">
        <f>'📅 Tracker'!P6</f>
        <v>4.16666666666667</v>
      </c>
      <c r="K6" s="130"/>
    </row>
    <row r="7" ht="21.75" customHeight="1" spans="2:11">
      <c r="B7" s="93"/>
      <c r="C7" s="93"/>
      <c r="D7" s="93"/>
      <c r="E7" s="93"/>
      <c r="F7" s="93"/>
      <c r="G7" s="93"/>
      <c r="H7" s="93"/>
      <c r="I7" s="93"/>
      <c r="J7" s="93"/>
      <c r="K7" s="93"/>
    </row>
    <row r="9" ht="19.5" customHeight="1" spans="2:11">
      <c r="B9" s="94" t="s">
        <v>7</v>
      </c>
      <c r="C9" s="95" t="s">
        <v>8</v>
      </c>
      <c r="D9" s="95"/>
      <c r="E9" s="95" t="s">
        <v>9</v>
      </c>
      <c r="F9" s="95"/>
      <c r="G9" s="94" t="s">
        <v>10</v>
      </c>
      <c r="H9" s="94" t="s">
        <v>11</v>
      </c>
      <c r="I9" s="95" t="s">
        <v>12</v>
      </c>
      <c r="J9" s="95"/>
      <c r="K9" s="95"/>
    </row>
    <row r="10" ht="21.75" customHeight="1" spans="2:11">
      <c r="B10" s="3" t="s">
        <v>13</v>
      </c>
      <c r="C10" s="96" t="s">
        <v>14</v>
      </c>
      <c r="D10" s="96"/>
      <c r="E10" s="97" t="s">
        <v>15</v>
      </c>
      <c r="F10" s="97"/>
      <c r="G10" s="98">
        <v>56</v>
      </c>
      <c r="H10" s="99">
        <f>COUNTIFS('📅 Tracker'!G:G,"Phase 1",'📅 Tracker'!H:H,"✓")</f>
        <v>14</v>
      </c>
      <c r="I10" s="131">
        <f>IFERROR(H10/56,0)</f>
        <v>0.25</v>
      </c>
      <c r="J10" s="131"/>
      <c r="K10" s="131"/>
    </row>
    <row r="11" ht="21.75" customHeight="1" spans="2:11">
      <c r="B11" s="7" t="s">
        <v>16</v>
      </c>
      <c r="C11" s="100" t="s">
        <v>17</v>
      </c>
      <c r="D11" s="100"/>
      <c r="E11" s="101" t="s">
        <v>18</v>
      </c>
      <c r="F11" s="101"/>
      <c r="G11" s="102">
        <v>28</v>
      </c>
      <c r="H11" s="103">
        <f>COUNTIFS('📅 Tracker'!G:G,"Phase 2",'📅 Tracker'!H:H,"✓")</f>
        <v>0</v>
      </c>
      <c r="I11" s="132">
        <f>IFERROR(H11/28,0)</f>
        <v>0</v>
      </c>
      <c r="J11" s="132"/>
      <c r="K11" s="132"/>
    </row>
    <row r="12" ht="21.75" customHeight="1" spans="2:11">
      <c r="B12" s="10" t="s">
        <v>19</v>
      </c>
      <c r="C12" s="104" t="s">
        <v>20</v>
      </c>
      <c r="D12" s="104"/>
      <c r="E12" s="105" t="s">
        <v>21</v>
      </c>
      <c r="F12" s="105"/>
      <c r="G12" s="106">
        <v>28</v>
      </c>
      <c r="H12" s="107">
        <f>COUNTIFS('📅 Tracker'!G:G,"Phase 3",'📅 Tracker'!H:H,"✓")</f>
        <v>0</v>
      </c>
      <c r="I12" s="133">
        <f>IFERROR(H12/28,0)</f>
        <v>0</v>
      </c>
      <c r="J12" s="133"/>
      <c r="K12" s="133"/>
    </row>
    <row r="13" ht="21.75" customHeight="1" spans="2:11">
      <c r="B13" s="13" t="s">
        <v>22</v>
      </c>
      <c r="C13" s="108" t="s">
        <v>23</v>
      </c>
      <c r="D13" s="108"/>
      <c r="E13" s="109" t="s">
        <v>24</v>
      </c>
      <c r="F13" s="109"/>
      <c r="G13" s="110">
        <v>56</v>
      </c>
      <c r="H13" s="111">
        <f>COUNTIFS('📅 Tracker'!G:G,"Phase 4",'📅 Tracker'!H:H,"✓")</f>
        <v>0</v>
      </c>
      <c r="I13" s="134">
        <f>IFERROR(H13/56,0)</f>
        <v>0</v>
      </c>
      <c r="J13" s="134"/>
      <c r="K13" s="134"/>
    </row>
    <row r="14" ht="21.75" customHeight="1" spans="2:11">
      <c r="B14" s="15" t="s">
        <v>25</v>
      </c>
      <c r="C14" s="112" t="s">
        <v>26</v>
      </c>
      <c r="D14" s="112"/>
      <c r="E14" s="113" t="s">
        <v>27</v>
      </c>
      <c r="F14" s="113"/>
      <c r="G14" s="114">
        <v>56</v>
      </c>
      <c r="H14" s="115">
        <f>COUNTIFS('📅 Tracker'!G:G,"Phase 5",'📅 Tracker'!H:H,"✓")</f>
        <v>0</v>
      </c>
      <c r="I14" s="135">
        <f>IFERROR(H14/56,0)</f>
        <v>0</v>
      </c>
      <c r="J14" s="135"/>
      <c r="K14" s="135"/>
    </row>
    <row r="15" ht="21.75" customHeight="1" spans="2:11">
      <c r="B15" s="18" t="s">
        <v>28</v>
      </c>
      <c r="C15" s="116" t="s">
        <v>29</v>
      </c>
      <c r="D15" s="116"/>
      <c r="E15" s="117" t="s">
        <v>30</v>
      </c>
      <c r="F15" s="117"/>
      <c r="G15" s="118">
        <v>56</v>
      </c>
      <c r="H15" s="119">
        <f>COUNTIFS('📅 Tracker'!G:G,"Phase 6",'📅 Tracker'!H:H,"✓")</f>
        <v>0</v>
      </c>
      <c r="I15" s="136">
        <f>IFERROR(H15/56,0)</f>
        <v>0</v>
      </c>
      <c r="J15" s="136"/>
      <c r="K15" s="136"/>
    </row>
    <row r="16" ht="21.75" customHeight="1" spans="2:11">
      <c r="B16" s="20" t="s">
        <v>31</v>
      </c>
      <c r="C16" s="120" t="s">
        <v>32</v>
      </c>
      <c r="D16" s="120"/>
      <c r="E16" s="121" t="s">
        <v>33</v>
      </c>
      <c r="F16" s="121"/>
      <c r="G16" s="122">
        <v>28</v>
      </c>
      <c r="H16" s="123">
        <f>COUNTIFS('📅 Tracker'!G:G,"Phase 7",'📅 Tracker'!H:H,"✓")</f>
        <v>0</v>
      </c>
      <c r="I16" s="137">
        <f>IFERROR(H16/28,0)</f>
        <v>0</v>
      </c>
      <c r="J16" s="137"/>
      <c r="K16" s="137"/>
    </row>
    <row r="17" ht="21.75" customHeight="1" spans="2:11">
      <c r="B17" s="23" t="s">
        <v>34</v>
      </c>
      <c r="C17" s="124" t="s">
        <v>35</v>
      </c>
      <c r="D17" s="124"/>
      <c r="E17" s="125" t="s">
        <v>36</v>
      </c>
      <c r="F17" s="125"/>
      <c r="G17" s="126">
        <v>28</v>
      </c>
      <c r="H17" s="127">
        <f>COUNTIFS('📅 Tracker'!G:G,"Phase 8",'📅 Tracker'!H:H,"✓")</f>
        <v>0</v>
      </c>
      <c r="I17" s="138">
        <f>IFERROR(H17/28,0)</f>
        <v>0</v>
      </c>
      <c r="J17" s="138"/>
      <c r="K17" s="138"/>
    </row>
    <row r="20" ht="27.75" customHeight="1" spans="2:11">
      <c r="B20" s="128" t="s">
        <v>37</v>
      </c>
      <c r="C20" s="128"/>
      <c r="D20" s="128"/>
      <c r="E20" s="128"/>
      <c r="F20" s="128"/>
      <c r="G20" s="128"/>
      <c r="H20" s="128"/>
      <c r="I20" s="128"/>
      <c r="J20" s="128"/>
      <c r="K20" s="128"/>
    </row>
    <row r="21" ht="27.75" customHeight="1" spans="2:11">
      <c r="B21" s="129" t="s">
        <v>38</v>
      </c>
      <c r="C21" s="129"/>
      <c r="D21" s="129"/>
      <c r="E21" s="129"/>
      <c r="F21" s="129"/>
      <c r="G21" s="129"/>
      <c r="H21" s="129"/>
      <c r="I21" s="129"/>
      <c r="J21" s="129"/>
      <c r="K21" s="129"/>
    </row>
  </sheetData>
  <mergeCells count="46">
    <mergeCell ref="B2:L2"/>
    <mergeCell ref="B3:L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C9:D9"/>
    <mergeCell ref="E9:F9"/>
    <mergeCell ref="I9:K9"/>
    <mergeCell ref="C10:D10"/>
    <mergeCell ref="E10:F10"/>
    <mergeCell ref="I10:K10"/>
    <mergeCell ref="C11:D11"/>
    <mergeCell ref="E11:F11"/>
    <mergeCell ref="I11:K11"/>
    <mergeCell ref="C12:D12"/>
    <mergeCell ref="E12:F12"/>
    <mergeCell ref="I12:K12"/>
    <mergeCell ref="C13:D13"/>
    <mergeCell ref="E13:F13"/>
    <mergeCell ref="I13:K13"/>
    <mergeCell ref="C14:D14"/>
    <mergeCell ref="E14:F14"/>
    <mergeCell ref="I14:K14"/>
    <mergeCell ref="C15:D15"/>
    <mergeCell ref="E15:F15"/>
    <mergeCell ref="I15:K15"/>
    <mergeCell ref="C16:D16"/>
    <mergeCell ref="E16:F16"/>
    <mergeCell ref="I16:K16"/>
    <mergeCell ref="C17:D17"/>
    <mergeCell ref="E17:F17"/>
    <mergeCell ref="I17:K17"/>
    <mergeCell ref="B20:K20"/>
    <mergeCell ref="B21:K2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402"/>
  <sheetViews>
    <sheetView showGridLines="0" tabSelected="1" workbookViewId="0">
      <pane xSplit="1" ySplit="2" topLeftCell="D9" activePane="bottomRight" state="frozen"/>
      <selection/>
      <selection pane="topRight"/>
      <selection pane="bottomLeft"/>
      <selection pane="bottomRight" activeCell="H15" sqref="H15"/>
    </sheetView>
  </sheetViews>
  <sheetFormatPr defaultColWidth="8.67592592592593" defaultRowHeight="14.4"/>
  <cols>
    <col min="1" max="1" width="4" customWidth="1"/>
    <col min="2" max="2" width="6" customWidth="1"/>
    <col min="3" max="4" width="8" customWidth="1"/>
    <col min="5" max="5" width="10" customWidth="1"/>
    <col min="6" max="7" width="14" customWidth="1"/>
    <col min="8" max="8" width="8" customWidth="1"/>
    <col min="9" max="9" width="40" customWidth="1"/>
    <col min="10" max="10" width="22" customWidth="1"/>
    <col min="11" max="11" width="4" customWidth="1"/>
    <col min="13" max="13" width="2.22222222222222" customWidth="1"/>
    <col min="14" max="14" width="8.67592592592593" hidden="1" customWidth="1"/>
    <col min="15" max="15" width="19" customWidth="1"/>
    <col min="16" max="16" width="18" customWidth="1"/>
    <col min="18" max="18" width="11.1111111111111"/>
  </cols>
  <sheetData>
    <row r="1" ht="52" customHeight="1" spans="2:16">
      <c r="B1" s="25" t="s">
        <v>39</v>
      </c>
      <c r="C1" s="25"/>
      <c r="D1" s="25"/>
      <c r="E1" s="25"/>
      <c r="F1" s="25"/>
      <c r="G1" s="25"/>
      <c r="H1" s="25"/>
      <c r="I1" s="25"/>
      <c r="J1" s="25"/>
      <c r="P1" s="34" t="s">
        <v>40</v>
      </c>
    </row>
    <row r="2" ht="26.4" spans="2:16">
      <c r="B2" s="26" t="s">
        <v>41</v>
      </c>
      <c r="C2" s="26" t="s">
        <v>42</v>
      </c>
      <c r="D2" s="26" t="s">
        <v>7</v>
      </c>
      <c r="E2" s="26" t="s">
        <v>43</v>
      </c>
      <c r="F2" s="26" t="s">
        <v>8</v>
      </c>
      <c r="G2" s="26" t="s">
        <v>44</v>
      </c>
      <c r="H2" s="26" t="s">
        <v>45</v>
      </c>
      <c r="I2" s="26" t="s">
        <v>11</v>
      </c>
      <c r="J2" s="26" t="s">
        <v>46</v>
      </c>
      <c r="O2" s="35" t="s">
        <v>47</v>
      </c>
      <c r="P2" s="36">
        <f>COUNTIF(H3:H402,"✓")</f>
        <v>14</v>
      </c>
    </row>
    <row r="3" ht="44" customHeight="1" spans="2:19">
      <c r="B3" s="27">
        <v>1</v>
      </c>
      <c r="C3" s="28" t="s">
        <v>48</v>
      </c>
      <c r="D3" s="3">
        <v>1</v>
      </c>
      <c r="E3" s="29" t="s">
        <v>15</v>
      </c>
      <c r="F3" s="30" t="s">
        <v>14</v>
      </c>
      <c r="G3" s="31" t="s">
        <v>13</v>
      </c>
      <c r="H3" s="32" t="s">
        <v>49</v>
      </c>
      <c r="I3" s="37" t="s">
        <v>50</v>
      </c>
      <c r="J3" s="6" t="s">
        <v>51</v>
      </c>
      <c r="O3" s="35" t="s">
        <v>52</v>
      </c>
      <c r="P3" s="36">
        <f>336-P2</f>
        <v>322</v>
      </c>
      <c r="R3" s="39">
        <v>46074</v>
      </c>
      <c r="S3" t="s">
        <v>53</v>
      </c>
    </row>
    <row r="4" ht="41" customHeight="1" spans="2:19">
      <c r="B4" s="27">
        <v>2</v>
      </c>
      <c r="C4" s="28" t="s">
        <v>54</v>
      </c>
      <c r="D4" s="3">
        <v>1</v>
      </c>
      <c r="E4" s="29" t="s">
        <v>15</v>
      </c>
      <c r="F4" s="30" t="s">
        <v>14</v>
      </c>
      <c r="G4" s="31" t="s">
        <v>13</v>
      </c>
      <c r="H4" s="32" t="s">
        <v>49</v>
      </c>
      <c r="I4" s="37" t="s">
        <v>55</v>
      </c>
      <c r="J4" s="6" t="s">
        <v>51</v>
      </c>
      <c r="O4" s="35" t="s">
        <v>56</v>
      </c>
      <c r="P4" s="36">
        <f>IFERROR(MATCH(FALSE(),EXACT(H3:H338,"✓"),0)-1,COUNTIF(H3:H338,"✓"))</f>
        <v>14</v>
      </c>
      <c r="R4" s="39">
        <v>46410</v>
      </c>
      <c r="S4" t="s">
        <v>57</v>
      </c>
    </row>
    <row r="5" ht="37.5" customHeight="1" spans="2:16">
      <c r="B5" s="27">
        <v>3</v>
      </c>
      <c r="C5" s="28" t="s">
        <v>58</v>
      </c>
      <c r="D5" s="3">
        <v>1</v>
      </c>
      <c r="E5" s="29" t="s">
        <v>15</v>
      </c>
      <c r="F5" s="30" t="s">
        <v>14</v>
      </c>
      <c r="G5" s="31" t="s">
        <v>13</v>
      </c>
      <c r="H5" s="32" t="s">
        <v>49</v>
      </c>
      <c r="I5" s="37" t="s">
        <v>59</v>
      </c>
      <c r="J5" s="6" t="s">
        <v>51</v>
      </c>
      <c r="O5" s="35" t="s">
        <v>60</v>
      </c>
      <c r="P5" s="36">
        <f>P2</f>
        <v>14</v>
      </c>
    </row>
    <row r="6" ht="37.5" customHeight="1" spans="2:16">
      <c r="B6" s="27">
        <v>4</v>
      </c>
      <c r="C6" s="28" t="s">
        <v>61</v>
      </c>
      <c r="D6" s="3">
        <v>1</v>
      </c>
      <c r="E6" s="29" t="s">
        <v>15</v>
      </c>
      <c r="F6" s="30" t="s">
        <v>14</v>
      </c>
      <c r="G6" s="31" t="s">
        <v>13</v>
      </c>
      <c r="H6" s="32" t="s">
        <v>49</v>
      </c>
      <c r="I6" s="37" t="s">
        <v>62</v>
      </c>
      <c r="J6" s="6" t="s">
        <v>51</v>
      </c>
      <c r="O6" s="35" t="s">
        <v>63</v>
      </c>
      <c r="P6" s="38">
        <f>IFERROR(P2/336*100,0)</f>
        <v>4.16666666666667</v>
      </c>
    </row>
    <row r="7" ht="37.5" customHeight="1" spans="2:10">
      <c r="B7" s="27">
        <v>5</v>
      </c>
      <c r="C7" s="28" t="s">
        <v>64</v>
      </c>
      <c r="D7" s="3">
        <v>1</v>
      </c>
      <c r="E7" s="29" t="s">
        <v>15</v>
      </c>
      <c r="F7" s="30" t="s">
        <v>14</v>
      </c>
      <c r="G7" s="31" t="s">
        <v>13</v>
      </c>
      <c r="H7" s="32" t="s">
        <v>49</v>
      </c>
      <c r="I7" s="37" t="s">
        <v>65</v>
      </c>
      <c r="J7" s="6" t="s">
        <v>51</v>
      </c>
    </row>
    <row r="8" ht="37.5" customHeight="1" spans="2:10">
      <c r="B8" s="27">
        <v>6</v>
      </c>
      <c r="C8" s="28" t="s">
        <v>66</v>
      </c>
      <c r="D8" s="3">
        <v>1</v>
      </c>
      <c r="E8" s="29" t="s">
        <v>15</v>
      </c>
      <c r="F8" s="30" t="s">
        <v>14</v>
      </c>
      <c r="G8" s="31" t="s">
        <v>13</v>
      </c>
      <c r="H8" s="32" t="s">
        <v>49</v>
      </c>
      <c r="I8" s="37" t="s">
        <v>67</v>
      </c>
      <c r="J8" s="6" t="s">
        <v>51</v>
      </c>
    </row>
    <row r="9" ht="37.5" customHeight="1" spans="2:10">
      <c r="B9" s="27">
        <v>7</v>
      </c>
      <c r="C9" s="28" t="s">
        <v>68</v>
      </c>
      <c r="D9" s="3">
        <v>1</v>
      </c>
      <c r="E9" s="29" t="s">
        <v>15</v>
      </c>
      <c r="F9" s="30" t="s">
        <v>14</v>
      </c>
      <c r="G9" s="31" t="s">
        <v>13</v>
      </c>
      <c r="H9" s="32" t="s">
        <v>49</v>
      </c>
      <c r="I9" s="37" t="s">
        <v>69</v>
      </c>
      <c r="J9" s="6" t="s">
        <v>51</v>
      </c>
    </row>
    <row r="10" ht="7.5" customHeight="1" spans="2:10">
      <c r="B10" s="33"/>
      <c r="C10" s="33"/>
      <c r="D10" s="33"/>
      <c r="E10" s="33"/>
      <c r="F10" s="33"/>
      <c r="G10" s="33"/>
      <c r="H10" s="33"/>
      <c r="I10" s="33"/>
      <c r="J10" s="33"/>
    </row>
    <row r="11" ht="37.5" customHeight="1" spans="2:10">
      <c r="B11" s="27">
        <v>8</v>
      </c>
      <c r="C11" s="28" t="s">
        <v>70</v>
      </c>
      <c r="D11" s="3">
        <v>1</v>
      </c>
      <c r="E11" s="29" t="s">
        <v>15</v>
      </c>
      <c r="F11" s="30" t="s">
        <v>14</v>
      </c>
      <c r="G11" s="31" t="s">
        <v>13</v>
      </c>
      <c r="H11" s="32" t="s">
        <v>49</v>
      </c>
      <c r="I11" s="37" t="s">
        <v>71</v>
      </c>
      <c r="J11" s="6" t="s">
        <v>51</v>
      </c>
    </row>
    <row r="12" ht="37.5" customHeight="1" spans="2:10">
      <c r="B12" s="27">
        <v>9</v>
      </c>
      <c r="C12" s="28" t="s">
        <v>72</v>
      </c>
      <c r="D12" s="3">
        <v>1</v>
      </c>
      <c r="E12" s="29" t="s">
        <v>15</v>
      </c>
      <c r="F12" s="30" t="s">
        <v>14</v>
      </c>
      <c r="G12" s="31" t="s">
        <v>13</v>
      </c>
      <c r="H12" s="32" t="s">
        <v>49</v>
      </c>
      <c r="I12" s="37" t="s">
        <v>73</v>
      </c>
      <c r="J12" s="6" t="s">
        <v>51</v>
      </c>
    </row>
    <row r="13" ht="37.5" customHeight="1" spans="2:10">
      <c r="B13" s="27">
        <v>10</v>
      </c>
      <c r="C13" s="28" t="s">
        <v>74</v>
      </c>
      <c r="D13" s="3">
        <v>1</v>
      </c>
      <c r="E13" s="29" t="s">
        <v>15</v>
      </c>
      <c r="F13" s="30" t="s">
        <v>14</v>
      </c>
      <c r="G13" s="31" t="s">
        <v>13</v>
      </c>
      <c r="H13" s="32" t="s">
        <v>49</v>
      </c>
      <c r="I13" s="37" t="s">
        <v>75</v>
      </c>
      <c r="J13" s="6" t="s">
        <v>51</v>
      </c>
    </row>
    <row r="14" ht="37.5" customHeight="1" spans="2:10">
      <c r="B14" s="27">
        <v>11</v>
      </c>
      <c r="C14" s="28" t="s">
        <v>76</v>
      </c>
      <c r="D14" s="3">
        <v>1</v>
      </c>
      <c r="E14" s="29" t="s">
        <v>15</v>
      </c>
      <c r="F14" s="30" t="s">
        <v>14</v>
      </c>
      <c r="G14" s="31" t="s">
        <v>13</v>
      </c>
      <c r="H14" s="32" t="s">
        <v>49</v>
      </c>
      <c r="I14" s="37" t="s">
        <v>77</v>
      </c>
      <c r="J14" s="6" t="s">
        <v>51</v>
      </c>
    </row>
    <row r="15" ht="37.5" customHeight="1" spans="2:10">
      <c r="B15" s="27">
        <v>12</v>
      </c>
      <c r="C15" s="28" t="s">
        <v>78</v>
      </c>
      <c r="D15" s="3">
        <v>1</v>
      </c>
      <c r="E15" s="29" t="s">
        <v>15</v>
      </c>
      <c r="F15" s="30" t="s">
        <v>14</v>
      </c>
      <c r="G15" s="31" t="s">
        <v>13</v>
      </c>
      <c r="H15" s="32" t="s">
        <v>49</v>
      </c>
      <c r="I15" s="37" t="s">
        <v>79</v>
      </c>
      <c r="J15" s="6" t="s">
        <v>51</v>
      </c>
    </row>
    <row r="16" ht="37.5" customHeight="1" spans="2:10">
      <c r="B16" s="27">
        <v>13</v>
      </c>
      <c r="C16" s="28" t="s">
        <v>80</v>
      </c>
      <c r="D16" s="3">
        <v>1</v>
      </c>
      <c r="E16" s="29" t="s">
        <v>15</v>
      </c>
      <c r="F16" s="30" t="s">
        <v>14</v>
      </c>
      <c r="G16" s="31" t="s">
        <v>13</v>
      </c>
      <c r="H16" s="32" t="s">
        <v>49</v>
      </c>
      <c r="I16" s="37" t="s">
        <v>81</v>
      </c>
      <c r="J16" s="6" t="s">
        <v>51</v>
      </c>
    </row>
    <row r="17" ht="37.5" customHeight="1" spans="2:10">
      <c r="B17" s="27">
        <v>14</v>
      </c>
      <c r="C17" s="28" t="s">
        <v>82</v>
      </c>
      <c r="D17" s="3">
        <v>1</v>
      </c>
      <c r="E17" s="29" t="s">
        <v>15</v>
      </c>
      <c r="F17" s="30" t="s">
        <v>14</v>
      </c>
      <c r="G17" s="31" t="s">
        <v>13</v>
      </c>
      <c r="H17" s="32" t="s">
        <v>49</v>
      </c>
      <c r="I17" s="37" t="s">
        <v>83</v>
      </c>
      <c r="J17" s="6" t="s">
        <v>51</v>
      </c>
    </row>
    <row r="18" ht="7.5" customHeight="1" spans="2:10">
      <c r="B18" s="33"/>
      <c r="C18" s="33"/>
      <c r="D18" s="33"/>
      <c r="E18" s="33"/>
      <c r="F18" s="33"/>
      <c r="G18" s="33"/>
      <c r="H18" s="33"/>
      <c r="I18" s="33"/>
      <c r="J18" s="33"/>
    </row>
    <row r="19" ht="37.5" customHeight="1" spans="2:10">
      <c r="B19" s="27">
        <v>15</v>
      </c>
      <c r="C19" s="28" t="s">
        <v>84</v>
      </c>
      <c r="D19" s="3">
        <v>1</v>
      </c>
      <c r="E19" s="29" t="s">
        <v>15</v>
      </c>
      <c r="F19" s="30" t="s">
        <v>14</v>
      </c>
      <c r="G19" s="31" t="s">
        <v>13</v>
      </c>
      <c r="H19" s="32"/>
      <c r="I19" s="37" t="s">
        <v>85</v>
      </c>
      <c r="J19" s="6" t="s">
        <v>51</v>
      </c>
    </row>
    <row r="20" ht="37.5" customHeight="1" spans="2:10">
      <c r="B20" s="27">
        <v>16</v>
      </c>
      <c r="C20" s="28" t="s">
        <v>86</v>
      </c>
      <c r="D20" s="3">
        <v>1</v>
      </c>
      <c r="E20" s="29" t="s">
        <v>15</v>
      </c>
      <c r="F20" s="30" t="s">
        <v>14</v>
      </c>
      <c r="G20" s="31" t="s">
        <v>13</v>
      </c>
      <c r="H20" s="32"/>
      <c r="I20" s="37" t="s">
        <v>87</v>
      </c>
      <c r="J20" s="6" t="s">
        <v>51</v>
      </c>
    </row>
    <row r="21" ht="37.5" customHeight="1" spans="2:10">
      <c r="B21" s="27">
        <v>17</v>
      </c>
      <c r="C21" s="28" t="s">
        <v>88</v>
      </c>
      <c r="D21" s="3">
        <v>1</v>
      </c>
      <c r="E21" s="29" t="s">
        <v>15</v>
      </c>
      <c r="F21" s="30" t="s">
        <v>14</v>
      </c>
      <c r="G21" s="31" t="s">
        <v>13</v>
      </c>
      <c r="H21" s="32"/>
      <c r="I21" s="37" t="s">
        <v>89</v>
      </c>
      <c r="J21" s="6" t="s">
        <v>51</v>
      </c>
    </row>
    <row r="22" ht="37.5" customHeight="1" spans="2:10">
      <c r="B22" s="27">
        <v>18</v>
      </c>
      <c r="C22" s="28" t="s">
        <v>90</v>
      </c>
      <c r="D22" s="3">
        <v>1</v>
      </c>
      <c r="E22" s="29" t="s">
        <v>15</v>
      </c>
      <c r="F22" s="30" t="s">
        <v>14</v>
      </c>
      <c r="G22" s="31" t="s">
        <v>13</v>
      </c>
      <c r="H22" s="32"/>
      <c r="I22" s="37" t="s">
        <v>91</v>
      </c>
      <c r="J22" s="6" t="s">
        <v>51</v>
      </c>
    </row>
    <row r="23" ht="37.5" customHeight="1" spans="2:10">
      <c r="B23" s="27">
        <v>19</v>
      </c>
      <c r="C23" s="28" t="s">
        <v>92</v>
      </c>
      <c r="D23" s="3">
        <v>1</v>
      </c>
      <c r="E23" s="29" t="s">
        <v>15</v>
      </c>
      <c r="F23" s="30" t="s">
        <v>14</v>
      </c>
      <c r="G23" s="31" t="s">
        <v>13</v>
      </c>
      <c r="H23" s="32"/>
      <c r="I23" s="37" t="s">
        <v>93</v>
      </c>
      <c r="J23" s="6" t="s">
        <v>51</v>
      </c>
    </row>
    <row r="24" ht="37.5" customHeight="1" spans="2:10">
      <c r="B24" s="27">
        <v>20</v>
      </c>
      <c r="C24" s="28" t="s">
        <v>94</v>
      </c>
      <c r="D24" s="3">
        <v>1</v>
      </c>
      <c r="E24" s="29" t="s">
        <v>15</v>
      </c>
      <c r="F24" s="30" t="s">
        <v>14</v>
      </c>
      <c r="G24" s="31" t="s">
        <v>13</v>
      </c>
      <c r="H24" s="32"/>
      <c r="I24" s="37" t="s">
        <v>95</v>
      </c>
      <c r="J24" s="6" t="s">
        <v>51</v>
      </c>
    </row>
    <row r="25" ht="37.5" customHeight="1" spans="2:10">
      <c r="B25" s="27">
        <v>21</v>
      </c>
      <c r="C25" s="28" t="s">
        <v>96</v>
      </c>
      <c r="D25" s="3">
        <v>1</v>
      </c>
      <c r="E25" s="29" t="s">
        <v>15</v>
      </c>
      <c r="F25" s="30" t="s">
        <v>14</v>
      </c>
      <c r="G25" s="31" t="s">
        <v>13</v>
      </c>
      <c r="H25" s="32"/>
      <c r="I25" s="37" t="s">
        <v>97</v>
      </c>
      <c r="J25" s="6" t="s">
        <v>51</v>
      </c>
    </row>
    <row r="26" ht="7.5" customHeight="1" spans="2:10">
      <c r="B26" s="33"/>
      <c r="C26" s="33"/>
      <c r="D26" s="33"/>
      <c r="E26" s="33"/>
      <c r="F26" s="33"/>
      <c r="G26" s="33"/>
      <c r="H26" s="33"/>
      <c r="I26" s="33"/>
      <c r="J26" s="33"/>
    </row>
    <row r="27" ht="37.5" customHeight="1" spans="2:10">
      <c r="B27" s="27">
        <v>22</v>
      </c>
      <c r="C27" s="28" t="s">
        <v>98</v>
      </c>
      <c r="D27" s="3">
        <v>1</v>
      </c>
      <c r="E27" s="29" t="s">
        <v>15</v>
      </c>
      <c r="F27" s="30" t="s">
        <v>14</v>
      </c>
      <c r="G27" s="31" t="s">
        <v>13</v>
      </c>
      <c r="H27" s="32"/>
      <c r="I27" s="37" t="s">
        <v>99</v>
      </c>
      <c r="J27" s="6" t="s">
        <v>51</v>
      </c>
    </row>
    <row r="28" ht="37.5" customHeight="1" spans="2:10">
      <c r="B28" s="27">
        <v>23</v>
      </c>
      <c r="C28" s="28" t="s">
        <v>100</v>
      </c>
      <c r="D28" s="3">
        <v>1</v>
      </c>
      <c r="E28" s="29" t="s">
        <v>15</v>
      </c>
      <c r="F28" s="30" t="s">
        <v>14</v>
      </c>
      <c r="G28" s="31" t="s">
        <v>13</v>
      </c>
      <c r="H28" s="32"/>
      <c r="I28" s="37" t="s">
        <v>101</v>
      </c>
      <c r="J28" s="6" t="s">
        <v>51</v>
      </c>
    </row>
    <row r="29" ht="37.5" customHeight="1" spans="2:10">
      <c r="B29" s="27">
        <v>24</v>
      </c>
      <c r="C29" s="28" t="s">
        <v>102</v>
      </c>
      <c r="D29" s="3">
        <v>1</v>
      </c>
      <c r="E29" s="29" t="s">
        <v>15</v>
      </c>
      <c r="F29" s="30" t="s">
        <v>14</v>
      </c>
      <c r="G29" s="31" t="s">
        <v>13</v>
      </c>
      <c r="H29" s="32"/>
      <c r="I29" s="37" t="s">
        <v>103</v>
      </c>
      <c r="J29" s="6" t="s">
        <v>51</v>
      </c>
    </row>
    <row r="30" ht="37.5" customHeight="1" spans="2:10">
      <c r="B30" s="27">
        <v>25</v>
      </c>
      <c r="C30" s="28" t="s">
        <v>104</v>
      </c>
      <c r="D30" s="3">
        <v>1</v>
      </c>
      <c r="E30" s="29" t="s">
        <v>15</v>
      </c>
      <c r="F30" s="30" t="s">
        <v>14</v>
      </c>
      <c r="G30" s="31" t="s">
        <v>13</v>
      </c>
      <c r="H30" s="32"/>
      <c r="I30" s="37" t="s">
        <v>105</v>
      </c>
      <c r="J30" s="6" t="s">
        <v>51</v>
      </c>
    </row>
    <row r="31" ht="37.5" customHeight="1" spans="2:10">
      <c r="B31" s="27">
        <v>26</v>
      </c>
      <c r="C31" s="28" t="s">
        <v>106</v>
      </c>
      <c r="D31" s="3">
        <v>1</v>
      </c>
      <c r="E31" s="29" t="s">
        <v>15</v>
      </c>
      <c r="F31" s="30" t="s">
        <v>14</v>
      </c>
      <c r="G31" s="31" t="s">
        <v>13</v>
      </c>
      <c r="H31" s="32"/>
      <c r="I31" s="37" t="s">
        <v>107</v>
      </c>
      <c r="J31" s="6" t="s">
        <v>51</v>
      </c>
    </row>
    <row r="32" ht="37.5" customHeight="1" spans="2:10">
      <c r="B32" s="27">
        <v>27</v>
      </c>
      <c r="C32" s="28" t="s">
        <v>108</v>
      </c>
      <c r="D32" s="3">
        <v>1</v>
      </c>
      <c r="E32" s="29" t="s">
        <v>15</v>
      </c>
      <c r="F32" s="30" t="s">
        <v>14</v>
      </c>
      <c r="G32" s="31" t="s">
        <v>13</v>
      </c>
      <c r="H32" s="32"/>
      <c r="I32" s="37" t="s">
        <v>109</v>
      </c>
      <c r="J32" s="6" t="s">
        <v>51</v>
      </c>
    </row>
    <row r="33" ht="37.5" customHeight="1" spans="2:10">
      <c r="B33" s="27">
        <v>28</v>
      </c>
      <c r="C33" s="28" t="s">
        <v>110</v>
      </c>
      <c r="D33" s="3">
        <v>1</v>
      </c>
      <c r="E33" s="29" t="s">
        <v>15</v>
      </c>
      <c r="F33" s="30" t="s">
        <v>14</v>
      </c>
      <c r="G33" s="31" t="s">
        <v>13</v>
      </c>
      <c r="H33" s="32"/>
      <c r="I33" s="37" t="s">
        <v>111</v>
      </c>
      <c r="J33" s="6" t="s">
        <v>51</v>
      </c>
    </row>
    <row r="34" ht="7.5" customHeight="1" spans="2:10">
      <c r="B34" s="33"/>
      <c r="C34" s="33"/>
      <c r="D34" s="33"/>
      <c r="E34" s="33"/>
      <c r="F34" s="33"/>
      <c r="G34" s="33"/>
      <c r="H34" s="33"/>
      <c r="I34" s="33"/>
      <c r="J34" s="33"/>
    </row>
    <row r="35" ht="37.5" customHeight="1" spans="2:10">
      <c r="B35" s="27">
        <v>29</v>
      </c>
      <c r="C35" s="28" t="s">
        <v>112</v>
      </c>
      <c r="D35" s="3">
        <v>1</v>
      </c>
      <c r="E35" s="29" t="s">
        <v>15</v>
      </c>
      <c r="F35" s="30" t="s">
        <v>14</v>
      </c>
      <c r="G35" s="31" t="s">
        <v>13</v>
      </c>
      <c r="H35" s="32"/>
      <c r="I35" s="37" t="s">
        <v>113</v>
      </c>
      <c r="J35" s="6" t="s">
        <v>51</v>
      </c>
    </row>
    <row r="36" ht="37.5" customHeight="1" spans="2:10">
      <c r="B36" s="27">
        <v>30</v>
      </c>
      <c r="C36" s="28" t="s">
        <v>114</v>
      </c>
      <c r="D36" s="3">
        <v>1</v>
      </c>
      <c r="E36" s="29" t="s">
        <v>15</v>
      </c>
      <c r="F36" s="30" t="s">
        <v>14</v>
      </c>
      <c r="G36" s="31" t="s">
        <v>13</v>
      </c>
      <c r="H36" s="32"/>
      <c r="I36" s="37" t="s">
        <v>115</v>
      </c>
      <c r="J36" s="6" t="s">
        <v>51</v>
      </c>
    </row>
    <row r="37" ht="37.5" customHeight="1" spans="2:10">
      <c r="B37" s="27">
        <v>31</v>
      </c>
      <c r="C37" s="28" t="s">
        <v>116</v>
      </c>
      <c r="D37" s="3">
        <v>1</v>
      </c>
      <c r="E37" s="29" t="s">
        <v>15</v>
      </c>
      <c r="F37" s="30" t="s">
        <v>14</v>
      </c>
      <c r="G37" s="31" t="s">
        <v>13</v>
      </c>
      <c r="H37" s="32"/>
      <c r="I37" s="37" t="s">
        <v>117</v>
      </c>
      <c r="J37" s="6" t="s">
        <v>51</v>
      </c>
    </row>
    <row r="38" ht="37.5" customHeight="1" spans="2:10">
      <c r="B38" s="27">
        <v>32</v>
      </c>
      <c r="C38" s="28" t="s">
        <v>118</v>
      </c>
      <c r="D38" s="3">
        <v>1</v>
      </c>
      <c r="E38" s="29" t="s">
        <v>15</v>
      </c>
      <c r="F38" s="30" t="s">
        <v>14</v>
      </c>
      <c r="G38" s="31" t="s">
        <v>13</v>
      </c>
      <c r="H38" s="32"/>
      <c r="I38" s="37" t="s">
        <v>119</v>
      </c>
      <c r="J38" s="6" t="s">
        <v>51</v>
      </c>
    </row>
    <row r="39" ht="37.5" customHeight="1" spans="2:10">
      <c r="B39" s="27">
        <v>33</v>
      </c>
      <c r="C39" s="28" t="s">
        <v>120</v>
      </c>
      <c r="D39" s="3">
        <v>1</v>
      </c>
      <c r="E39" s="29" t="s">
        <v>15</v>
      </c>
      <c r="F39" s="30" t="s">
        <v>14</v>
      </c>
      <c r="G39" s="31" t="s">
        <v>13</v>
      </c>
      <c r="H39" s="32"/>
      <c r="I39" s="37" t="s">
        <v>121</v>
      </c>
      <c r="J39" s="6" t="s">
        <v>51</v>
      </c>
    </row>
    <row r="40" ht="37.5" customHeight="1" spans="2:10">
      <c r="B40" s="27">
        <v>34</v>
      </c>
      <c r="C40" s="28" t="s">
        <v>122</v>
      </c>
      <c r="D40" s="3">
        <v>1</v>
      </c>
      <c r="E40" s="29" t="s">
        <v>15</v>
      </c>
      <c r="F40" s="30" t="s">
        <v>14</v>
      </c>
      <c r="G40" s="31" t="s">
        <v>13</v>
      </c>
      <c r="H40" s="32"/>
      <c r="I40" s="37" t="s">
        <v>123</v>
      </c>
      <c r="J40" s="6" t="s">
        <v>51</v>
      </c>
    </row>
    <row r="41" ht="37.5" customHeight="1" spans="2:10">
      <c r="B41" s="27">
        <v>35</v>
      </c>
      <c r="C41" s="28" t="s">
        <v>124</v>
      </c>
      <c r="D41" s="3">
        <v>1</v>
      </c>
      <c r="E41" s="29" t="s">
        <v>15</v>
      </c>
      <c r="F41" s="30" t="s">
        <v>14</v>
      </c>
      <c r="G41" s="31" t="s">
        <v>13</v>
      </c>
      <c r="H41" s="32"/>
      <c r="I41" s="37" t="s">
        <v>125</v>
      </c>
      <c r="J41" s="6" t="s">
        <v>51</v>
      </c>
    </row>
    <row r="42" ht="7.5" customHeight="1" spans="2:10">
      <c r="B42" s="33"/>
      <c r="C42" s="33"/>
      <c r="D42" s="33"/>
      <c r="E42" s="33"/>
      <c r="F42" s="33"/>
      <c r="G42" s="33"/>
      <c r="H42" s="33"/>
      <c r="I42" s="33"/>
      <c r="J42" s="33"/>
    </row>
    <row r="43" ht="37.5" customHeight="1" spans="2:10">
      <c r="B43" s="27">
        <v>36</v>
      </c>
      <c r="C43" s="28" t="s">
        <v>126</v>
      </c>
      <c r="D43" s="3">
        <v>1</v>
      </c>
      <c r="E43" s="29" t="s">
        <v>15</v>
      </c>
      <c r="F43" s="30" t="s">
        <v>14</v>
      </c>
      <c r="G43" s="31" t="s">
        <v>13</v>
      </c>
      <c r="H43" s="32"/>
      <c r="I43" s="37" t="s">
        <v>127</v>
      </c>
      <c r="J43" s="6" t="s">
        <v>51</v>
      </c>
    </row>
    <row r="44" ht="37.5" customHeight="1" spans="2:10">
      <c r="B44" s="27">
        <v>37</v>
      </c>
      <c r="C44" s="28" t="s">
        <v>128</v>
      </c>
      <c r="D44" s="3">
        <v>1</v>
      </c>
      <c r="E44" s="29" t="s">
        <v>15</v>
      </c>
      <c r="F44" s="30" t="s">
        <v>14</v>
      </c>
      <c r="G44" s="31" t="s">
        <v>13</v>
      </c>
      <c r="H44" s="32"/>
      <c r="I44" s="37" t="s">
        <v>129</v>
      </c>
      <c r="J44" s="6" t="s">
        <v>51</v>
      </c>
    </row>
    <row r="45" ht="37.5" customHeight="1" spans="2:10">
      <c r="B45" s="27">
        <v>38</v>
      </c>
      <c r="C45" s="28" t="s">
        <v>130</v>
      </c>
      <c r="D45" s="3">
        <v>1</v>
      </c>
      <c r="E45" s="29" t="s">
        <v>15</v>
      </c>
      <c r="F45" s="30" t="s">
        <v>14</v>
      </c>
      <c r="G45" s="31" t="s">
        <v>13</v>
      </c>
      <c r="H45" s="32"/>
      <c r="I45" s="37" t="s">
        <v>131</v>
      </c>
      <c r="J45" s="6" t="s">
        <v>51</v>
      </c>
    </row>
    <row r="46" ht="37.5" customHeight="1" spans="2:10">
      <c r="B46" s="27">
        <v>39</v>
      </c>
      <c r="C46" s="28" t="s">
        <v>132</v>
      </c>
      <c r="D46" s="3">
        <v>1</v>
      </c>
      <c r="E46" s="29" t="s">
        <v>15</v>
      </c>
      <c r="F46" s="30" t="s">
        <v>14</v>
      </c>
      <c r="G46" s="31" t="s">
        <v>13</v>
      </c>
      <c r="H46" s="32"/>
      <c r="I46" s="37" t="s">
        <v>133</v>
      </c>
      <c r="J46" s="6" t="s">
        <v>51</v>
      </c>
    </row>
    <row r="47" ht="37.5" customHeight="1" spans="2:10">
      <c r="B47" s="27">
        <v>40</v>
      </c>
      <c r="C47" s="28" t="s">
        <v>134</v>
      </c>
      <c r="D47" s="3">
        <v>1</v>
      </c>
      <c r="E47" s="29" t="s">
        <v>15</v>
      </c>
      <c r="F47" s="30" t="s">
        <v>14</v>
      </c>
      <c r="G47" s="31" t="s">
        <v>13</v>
      </c>
      <c r="H47" s="32"/>
      <c r="I47" s="37" t="s">
        <v>135</v>
      </c>
      <c r="J47" s="6" t="s">
        <v>51</v>
      </c>
    </row>
    <row r="48" ht="37.5" customHeight="1" spans="2:10">
      <c r="B48" s="27">
        <v>41</v>
      </c>
      <c r="C48" s="28" t="s">
        <v>136</v>
      </c>
      <c r="D48" s="3">
        <v>1</v>
      </c>
      <c r="E48" s="29" t="s">
        <v>15</v>
      </c>
      <c r="F48" s="30" t="s">
        <v>14</v>
      </c>
      <c r="G48" s="31" t="s">
        <v>13</v>
      </c>
      <c r="H48" s="32"/>
      <c r="I48" s="37" t="s">
        <v>137</v>
      </c>
      <c r="J48" s="6" t="s">
        <v>51</v>
      </c>
    </row>
    <row r="49" ht="37.5" customHeight="1" spans="2:10">
      <c r="B49" s="27">
        <v>42</v>
      </c>
      <c r="C49" s="28" t="s">
        <v>138</v>
      </c>
      <c r="D49" s="3">
        <v>1</v>
      </c>
      <c r="E49" s="29" t="s">
        <v>15</v>
      </c>
      <c r="F49" s="30" t="s">
        <v>14</v>
      </c>
      <c r="G49" s="31" t="s">
        <v>13</v>
      </c>
      <c r="H49" s="32"/>
      <c r="I49" s="37" t="s">
        <v>139</v>
      </c>
      <c r="J49" s="6" t="s">
        <v>51</v>
      </c>
    </row>
    <row r="50" ht="7.5" customHeight="1" spans="2:10">
      <c r="B50" s="33"/>
      <c r="C50" s="33"/>
      <c r="D50" s="33"/>
      <c r="E50" s="33"/>
      <c r="F50" s="33"/>
      <c r="G50" s="33"/>
      <c r="H50" s="33"/>
      <c r="I50" s="33"/>
      <c r="J50" s="33"/>
    </row>
    <row r="51" ht="37.5" customHeight="1" spans="2:10">
      <c r="B51" s="27">
        <v>43</v>
      </c>
      <c r="C51" s="28" t="s">
        <v>140</v>
      </c>
      <c r="D51" s="3">
        <v>1</v>
      </c>
      <c r="E51" s="29" t="s">
        <v>15</v>
      </c>
      <c r="F51" s="30" t="s">
        <v>14</v>
      </c>
      <c r="G51" s="31" t="s">
        <v>13</v>
      </c>
      <c r="H51" s="32"/>
      <c r="I51" s="37" t="s">
        <v>141</v>
      </c>
      <c r="J51" s="6" t="s">
        <v>51</v>
      </c>
    </row>
    <row r="52" ht="37.5" customHeight="1" spans="2:10">
      <c r="B52" s="27">
        <v>44</v>
      </c>
      <c r="C52" s="28" t="s">
        <v>142</v>
      </c>
      <c r="D52" s="3">
        <v>1</v>
      </c>
      <c r="E52" s="29" t="s">
        <v>15</v>
      </c>
      <c r="F52" s="30" t="s">
        <v>14</v>
      </c>
      <c r="G52" s="31" t="s">
        <v>13</v>
      </c>
      <c r="H52" s="32"/>
      <c r="I52" s="37" t="s">
        <v>143</v>
      </c>
      <c r="J52" s="6" t="s">
        <v>51</v>
      </c>
    </row>
    <row r="53" ht="37.5" customHeight="1" spans="2:10">
      <c r="B53" s="27">
        <v>45</v>
      </c>
      <c r="C53" s="28" t="s">
        <v>144</v>
      </c>
      <c r="D53" s="3">
        <v>1</v>
      </c>
      <c r="E53" s="29" t="s">
        <v>15</v>
      </c>
      <c r="F53" s="30" t="s">
        <v>14</v>
      </c>
      <c r="G53" s="31" t="s">
        <v>13</v>
      </c>
      <c r="H53" s="32"/>
      <c r="I53" s="37" t="s">
        <v>145</v>
      </c>
      <c r="J53" s="6" t="s">
        <v>51</v>
      </c>
    </row>
    <row r="54" ht="37.5" customHeight="1" spans="2:10">
      <c r="B54" s="27">
        <v>46</v>
      </c>
      <c r="C54" s="28" t="s">
        <v>146</v>
      </c>
      <c r="D54" s="3">
        <v>1</v>
      </c>
      <c r="E54" s="29" t="s">
        <v>15</v>
      </c>
      <c r="F54" s="30" t="s">
        <v>14</v>
      </c>
      <c r="G54" s="31" t="s">
        <v>13</v>
      </c>
      <c r="H54" s="32"/>
      <c r="I54" s="37" t="s">
        <v>147</v>
      </c>
      <c r="J54" s="6" t="s">
        <v>51</v>
      </c>
    </row>
    <row r="55" ht="37.5" customHeight="1" spans="2:10">
      <c r="B55" s="27">
        <v>47</v>
      </c>
      <c r="C55" s="28" t="s">
        <v>148</v>
      </c>
      <c r="D55" s="3">
        <v>1</v>
      </c>
      <c r="E55" s="29" t="s">
        <v>15</v>
      </c>
      <c r="F55" s="30" t="s">
        <v>14</v>
      </c>
      <c r="G55" s="31" t="s">
        <v>13</v>
      </c>
      <c r="H55" s="32"/>
      <c r="I55" s="37" t="s">
        <v>149</v>
      </c>
      <c r="J55" s="6" t="s">
        <v>51</v>
      </c>
    </row>
    <row r="56" ht="37.5" customHeight="1" spans="2:10">
      <c r="B56" s="27">
        <v>48</v>
      </c>
      <c r="C56" s="28" t="s">
        <v>150</v>
      </c>
      <c r="D56" s="3">
        <v>1</v>
      </c>
      <c r="E56" s="29" t="s">
        <v>15</v>
      </c>
      <c r="F56" s="30" t="s">
        <v>14</v>
      </c>
      <c r="G56" s="31" t="s">
        <v>13</v>
      </c>
      <c r="H56" s="32"/>
      <c r="I56" s="37" t="s">
        <v>151</v>
      </c>
      <c r="J56" s="6" t="s">
        <v>51</v>
      </c>
    </row>
    <row r="57" ht="37.5" customHeight="1" spans="2:10">
      <c r="B57" s="27">
        <v>49</v>
      </c>
      <c r="C57" s="28" t="s">
        <v>152</v>
      </c>
      <c r="D57" s="3">
        <v>1</v>
      </c>
      <c r="E57" s="29" t="s">
        <v>15</v>
      </c>
      <c r="F57" s="30" t="s">
        <v>14</v>
      </c>
      <c r="G57" s="31" t="s">
        <v>13</v>
      </c>
      <c r="H57" s="32"/>
      <c r="I57" s="37" t="s">
        <v>153</v>
      </c>
      <c r="J57" s="6" t="s">
        <v>51</v>
      </c>
    </row>
    <row r="58" ht="7.5" customHeight="1" spans="2:10">
      <c r="B58" s="33"/>
      <c r="C58" s="33"/>
      <c r="D58" s="33"/>
      <c r="E58" s="33"/>
      <c r="F58" s="33"/>
      <c r="G58" s="33"/>
      <c r="H58" s="33"/>
      <c r="I58" s="33"/>
      <c r="J58" s="33"/>
    </row>
    <row r="59" ht="37.5" customHeight="1" spans="2:10">
      <c r="B59" s="27">
        <v>50</v>
      </c>
      <c r="C59" s="28" t="s">
        <v>154</v>
      </c>
      <c r="D59" s="3">
        <v>1</v>
      </c>
      <c r="E59" s="29" t="s">
        <v>15</v>
      </c>
      <c r="F59" s="30" t="s">
        <v>14</v>
      </c>
      <c r="G59" s="31" t="s">
        <v>13</v>
      </c>
      <c r="H59" s="32"/>
      <c r="I59" s="37" t="s">
        <v>155</v>
      </c>
      <c r="J59" s="6" t="s">
        <v>51</v>
      </c>
    </row>
    <row r="60" ht="37.5" customHeight="1" spans="2:10">
      <c r="B60" s="27">
        <v>51</v>
      </c>
      <c r="C60" s="28" t="s">
        <v>156</v>
      </c>
      <c r="D60" s="3">
        <v>1</v>
      </c>
      <c r="E60" s="29" t="s">
        <v>15</v>
      </c>
      <c r="F60" s="30" t="s">
        <v>14</v>
      </c>
      <c r="G60" s="31" t="s">
        <v>13</v>
      </c>
      <c r="H60" s="32"/>
      <c r="I60" s="37" t="s">
        <v>157</v>
      </c>
      <c r="J60" s="6" t="s">
        <v>51</v>
      </c>
    </row>
    <row r="61" ht="37.5" customHeight="1" spans="2:10">
      <c r="B61" s="27">
        <v>52</v>
      </c>
      <c r="C61" s="28" t="s">
        <v>158</v>
      </c>
      <c r="D61" s="3">
        <v>1</v>
      </c>
      <c r="E61" s="29" t="s">
        <v>15</v>
      </c>
      <c r="F61" s="30" t="s">
        <v>14</v>
      </c>
      <c r="G61" s="31" t="s">
        <v>13</v>
      </c>
      <c r="H61" s="32"/>
      <c r="I61" s="37" t="s">
        <v>159</v>
      </c>
      <c r="J61" s="6" t="s">
        <v>51</v>
      </c>
    </row>
    <row r="62" ht="37.5" customHeight="1" spans="2:10">
      <c r="B62" s="27">
        <v>53</v>
      </c>
      <c r="C62" s="28" t="s">
        <v>160</v>
      </c>
      <c r="D62" s="3">
        <v>1</v>
      </c>
      <c r="E62" s="29" t="s">
        <v>15</v>
      </c>
      <c r="F62" s="30" t="s">
        <v>14</v>
      </c>
      <c r="G62" s="31" t="s">
        <v>13</v>
      </c>
      <c r="H62" s="32"/>
      <c r="I62" s="37" t="s">
        <v>161</v>
      </c>
      <c r="J62" s="6" t="s">
        <v>51</v>
      </c>
    </row>
    <row r="63" ht="37.5" customHeight="1" spans="2:10">
      <c r="B63" s="27">
        <v>54</v>
      </c>
      <c r="C63" s="28" t="s">
        <v>162</v>
      </c>
      <c r="D63" s="3">
        <v>1</v>
      </c>
      <c r="E63" s="29" t="s">
        <v>15</v>
      </c>
      <c r="F63" s="30" t="s">
        <v>14</v>
      </c>
      <c r="G63" s="31" t="s">
        <v>13</v>
      </c>
      <c r="H63" s="32"/>
      <c r="I63" s="37" t="s">
        <v>163</v>
      </c>
      <c r="J63" s="6" t="s">
        <v>51</v>
      </c>
    </row>
    <row r="64" ht="37.5" customHeight="1" spans="2:10">
      <c r="B64" s="27">
        <v>55</v>
      </c>
      <c r="C64" s="28" t="s">
        <v>164</v>
      </c>
      <c r="D64" s="3">
        <v>1</v>
      </c>
      <c r="E64" s="29" t="s">
        <v>15</v>
      </c>
      <c r="F64" s="30" t="s">
        <v>14</v>
      </c>
      <c r="G64" s="31" t="s">
        <v>13</v>
      </c>
      <c r="H64" s="32"/>
      <c r="I64" s="37" t="s">
        <v>165</v>
      </c>
      <c r="J64" s="6" t="s">
        <v>51</v>
      </c>
    </row>
    <row r="65" ht="37.5" customHeight="1" spans="2:10">
      <c r="B65" s="27">
        <v>56</v>
      </c>
      <c r="C65" s="28" t="s">
        <v>166</v>
      </c>
      <c r="D65" s="3">
        <v>1</v>
      </c>
      <c r="E65" s="29" t="s">
        <v>15</v>
      </c>
      <c r="F65" s="30" t="s">
        <v>14</v>
      </c>
      <c r="G65" s="31" t="s">
        <v>13</v>
      </c>
      <c r="H65" s="32"/>
      <c r="I65" s="37" t="s">
        <v>167</v>
      </c>
      <c r="J65" s="6" t="s">
        <v>51</v>
      </c>
    </row>
    <row r="66" ht="7.5" customHeight="1" spans="2:10">
      <c r="B66" s="33"/>
      <c r="C66" s="33"/>
      <c r="D66" s="33"/>
      <c r="E66" s="33"/>
      <c r="F66" s="33"/>
      <c r="G66" s="33"/>
      <c r="H66" s="33"/>
      <c r="I66" s="33"/>
      <c r="J66" s="33"/>
    </row>
    <row r="67" ht="13.5" customHeight="1" spans="2:10">
      <c r="B67" s="40" t="s">
        <v>168</v>
      </c>
      <c r="C67" s="40"/>
      <c r="D67" s="40"/>
      <c r="E67" s="40"/>
      <c r="F67" s="40"/>
      <c r="G67" s="40"/>
      <c r="H67" s="40"/>
      <c r="I67" s="40"/>
      <c r="J67" s="40"/>
    </row>
    <row r="68" ht="9.75" customHeight="1" spans="2:10">
      <c r="B68" s="41"/>
      <c r="C68" s="41"/>
      <c r="D68" s="41"/>
      <c r="E68" s="41"/>
      <c r="F68" s="41"/>
      <c r="G68" s="41"/>
      <c r="H68" s="41"/>
      <c r="I68" s="41"/>
      <c r="J68" s="41"/>
    </row>
    <row r="69" ht="37.5" customHeight="1" spans="2:10">
      <c r="B69" s="42">
        <v>57</v>
      </c>
      <c r="C69" s="43" t="s">
        <v>169</v>
      </c>
      <c r="D69" s="7">
        <v>2</v>
      </c>
      <c r="E69" s="44" t="s">
        <v>18</v>
      </c>
      <c r="F69" s="45" t="s">
        <v>17</v>
      </c>
      <c r="G69" s="46" t="s">
        <v>16</v>
      </c>
      <c r="H69" s="32"/>
      <c r="I69" s="37" t="s">
        <v>170</v>
      </c>
      <c r="J69" s="6" t="s">
        <v>171</v>
      </c>
    </row>
    <row r="70" ht="37.5" customHeight="1" spans="2:10">
      <c r="B70" s="42">
        <v>58</v>
      </c>
      <c r="C70" s="43" t="s">
        <v>172</v>
      </c>
      <c r="D70" s="7">
        <v>2</v>
      </c>
      <c r="E70" s="44" t="s">
        <v>18</v>
      </c>
      <c r="F70" s="45" t="s">
        <v>17</v>
      </c>
      <c r="G70" s="46" t="s">
        <v>16</v>
      </c>
      <c r="H70" s="32"/>
      <c r="I70" s="37" t="s">
        <v>173</v>
      </c>
      <c r="J70" s="6" t="s">
        <v>171</v>
      </c>
    </row>
    <row r="71" ht="37.5" customHeight="1" spans="2:10">
      <c r="B71" s="42">
        <v>59</v>
      </c>
      <c r="C71" s="43" t="s">
        <v>174</v>
      </c>
      <c r="D71" s="7">
        <v>2</v>
      </c>
      <c r="E71" s="44" t="s">
        <v>18</v>
      </c>
      <c r="F71" s="45" t="s">
        <v>17</v>
      </c>
      <c r="G71" s="46" t="s">
        <v>16</v>
      </c>
      <c r="H71" s="32"/>
      <c r="I71" s="37" t="s">
        <v>175</v>
      </c>
      <c r="J71" s="6" t="s">
        <v>171</v>
      </c>
    </row>
    <row r="72" ht="37.5" customHeight="1" spans="2:10">
      <c r="B72" s="42">
        <v>60</v>
      </c>
      <c r="C72" s="43" t="s">
        <v>176</v>
      </c>
      <c r="D72" s="7">
        <v>2</v>
      </c>
      <c r="E72" s="44" t="s">
        <v>18</v>
      </c>
      <c r="F72" s="45" t="s">
        <v>17</v>
      </c>
      <c r="G72" s="46" t="s">
        <v>16</v>
      </c>
      <c r="H72" s="32"/>
      <c r="I72" s="37" t="s">
        <v>177</v>
      </c>
      <c r="J72" s="6" t="s">
        <v>171</v>
      </c>
    </row>
    <row r="73" ht="37.5" customHeight="1" spans="2:10">
      <c r="B73" s="42">
        <v>61</v>
      </c>
      <c r="C73" s="43" t="s">
        <v>178</v>
      </c>
      <c r="D73" s="7">
        <v>2</v>
      </c>
      <c r="E73" s="44" t="s">
        <v>18</v>
      </c>
      <c r="F73" s="45" t="s">
        <v>17</v>
      </c>
      <c r="G73" s="46" t="s">
        <v>16</v>
      </c>
      <c r="H73" s="32"/>
      <c r="I73" s="37" t="s">
        <v>179</v>
      </c>
      <c r="J73" s="6" t="s">
        <v>171</v>
      </c>
    </row>
    <row r="74" ht="37.5" customHeight="1" spans="2:10">
      <c r="B74" s="42">
        <v>62</v>
      </c>
      <c r="C74" s="43" t="s">
        <v>180</v>
      </c>
      <c r="D74" s="7">
        <v>2</v>
      </c>
      <c r="E74" s="44" t="s">
        <v>18</v>
      </c>
      <c r="F74" s="45" t="s">
        <v>17</v>
      </c>
      <c r="G74" s="46" t="s">
        <v>16</v>
      </c>
      <c r="H74" s="32"/>
      <c r="I74" s="37" t="s">
        <v>181</v>
      </c>
      <c r="J74" s="6" t="s">
        <v>171</v>
      </c>
    </row>
    <row r="75" ht="37.5" customHeight="1" spans="2:10">
      <c r="B75" s="42">
        <v>63</v>
      </c>
      <c r="C75" s="43" t="s">
        <v>182</v>
      </c>
      <c r="D75" s="7">
        <v>2</v>
      </c>
      <c r="E75" s="44" t="s">
        <v>18</v>
      </c>
      <c r="F75" s="45" t="s">
        <v>17</v>
      </c>
      <c r="G75" s="46" t="s">
        <v>16</v>
      </c>
      <c r="H75" s="32"/>
      <c r="I75" s="37" t="s">
        <v>183</v>
      </c>
      <c r="J75" s="6" t="s">
        <v>171</v>
      </c>
    </row>
    <row r="76" ht="7.5" customHeight="1" spans="2:10">
      <c r="B76" s="33"/>
      <c r="C76" s="33"/>
      <c r="D76" s="33"/>
      <c r="E76" s="33"/>
      <c r="F76" s="33"/>
      <c r="G76" s="33"/>
      <c r="H76" s="33"/>
      <c r="I76" s="33"/>
      <c r="J76" s="33"/>
    </row>
    <row r="77" ht="37.5" customHeight="1" spans="2:10">
      <c r="B77" s="42">
        <v>64</v>
      </c>
      <c r="C77" s="43" t="s">
        <v>184</v>
      </c>
      <c r="D77" s="7">
        <v>2</v>
      </c>
      <c r="E77" s="44" t="s">
        <v>18</v>
      </c>
      <c r="F77" s="45" t="s">
        <v>17</v>
      </c>
      <c r="G77" s="46" t="s">
        <v>16</v>
      </c>
      <c r="H77" s="32"/>
      <c r="I77" s="37" t="s">
        <v>185</v>
      </c>
      <c r="J77" s="6" t="s">
        <v>171</v>
      </c>
    </row>
    <row r="78" ht="37.5" customHeight="1" spans="2:10">
      <c r="B78" s="42">
        <v>65</v>
      </c>
      <c r="C78" s="43" t="s">
        <v>186</v>
      </c>
      <c r="D78" s="7">
        <v>2</v>
      </c>
      <c r="E78" s="44" t="s">
        <v>18</v>
      </c>
      <c r="F78" s="45" t="s">
        <v>17</v>
      </c>
      <c r="G78" s="46" t="s">
        <v>16</v>
      </c>
      <c r="H78" s="32"/>
      <c r="I78" s="37" t="s">
        <v>187</v>
      </c>
      <c r="J78" s="6" t="s">
        <v>171</v>
      </c>
    </row>
    <row r="79" ht="37.5" customHeight="1" spans="2:10">
      <c r="B79" s="42">
        <v>66</v>
      </c>
      <c r="C79" s="43" t="s">
        <v>188</v>
      </c>
      <c r="D79" s="7">
        <v>2</v>
      </c>
      <c r="E79" s="44" t="s">
        <v>18</v>
      </c>
      <c r="F79" s="45" t="s">
        <v>17</v>
      </c>
      <c r="G79" s="46" t="s">
        <v>16</v>
      </c>
      <c r="H79" s="32"/>
      <c r="I79" s="37" t="s">
        <v>189</v>
      </c>
      <c r="J79" s="6" t="s">
        <v>171</v>
      </c>
    </row>
    <row r="80" ht="37.5" customHeight="1" spans="2:10">
      <c r="B80" s="42">
        <v>67</v>
      </c>
      <c r="C80" s="43" t="s">
        <v>190</v>
      </c>
      <c r="D80" s="7">
        <v>2</v>
      </c>
      <c r="E80" s="44" t="s">
        <v>18</v>
      </c>
      <c r="F80" s="45" t="s">
        <v>17</v>
      </c>
      <c r="G80" s="46" t="s">
        <v>16</v>
      </c>
      <c r="H80" s="32"/>
      <c r="I80" s="37" t="s">
        <v>191</v>
      </c>
      <c r="J80" s="6" t="s">
        <v>171</v>
      </c>
    </row>
    <row r="81" ht="37.5" customHeight="1" spans="2:10">
      <c r="B81" s="42">
        <v>68</v>
      </c>
      <c r="C81" s="43" t="s">
        <v>192</v>
      </c>
      <c r="D81" s="7">
        <v>2</v>
      </c>
      <c r="E81" s="44" t="s">
        <v>18</v>
      </c>
      <c r="F81" s="45" t="s">
        <v>17</v>
      </c>
      <c r="G81" s="46" t="s">
        <v>16</v>
      </c>
      <c r="H81" s="32"/>
      <c r="I81" s="37" t="s">
        <v>193</v>
      </c>
      <c r="J81" s="6" t="s">
        <v>171</v>
      </c>
    </row>
    <row r="82" ht="37.5" customHeight="1" spans="2:10">
      <c r="B82" s="42">
        <v>69</v>
      </c>
      <c r="C82" s="43" t="s">
        <v>194</v>
      </c>
      <c r="D82" s="7">
        <v>2</v>
      </c>
      <c r="E82" s="44" t="s">
        <v>18</v>
      </c>
      <c r="F82" s="45" t="s">
        <v>17</v>
      </c>
      <c r="G82" s="46" t="s">
        <v>16</v>
      </c>
      <c r="H82" s="32"/>
      <c r="I82" s="37" t="s">
        <v>195</v>
      </c>
      <c r="J82" s="6" t="s">
        <v>171</v>
      </c>
    </row>
    <row r="83" ht="37.5" customHeight="1" spans="2:10">
      <c r="B83" s="42">
        <v>70</v>
      </c>
      <c r="C83" s="43" t="s">
        <v>196</v>
      </c>
      <c r="D83" s="7">
        <v>2</v>
      </c>
      <c r="E83" s="44" t="s">
        <v>18</v>
      </c>
      <c r="F83" s="45" t="s">
        <v>17</v>
      </c>
      <c r="G83" s="46" t="s">
        <v>16</v>
      </c>
      <c r="H83" s="32"/>
      <c r="I83" s="37" t="s">
        <v>197</v>
      </c>
      <c r="J83" s="6" t="s">
        <v>171</v>
      </c>
    </row>
    <row r="84" ht="7.5" customHeight="1" spans="2:10">
      <c r="B84" s="33"/>
      <c r="C84" s="33"/>
      <c r="D84" s="33"/>
      <c r="E84" s="33"/>
      <c r="F84" s="33"/>
      <c r="G84" s="33"/>
      <c r="H84" s="33"/>
      <c r="I84" s="33"/>
      <c r="J84" s="33"/>
    </row>
    <row r="85" ht="37.5" customHeight="1" spans="2:10">
      <c r="B85" s="42">
        <v>71</v>
      </c>
      <c r="C85" s="43" t="s">
        <v>198</v>
      </c>
      <c r="D85" s="7">
        <v>2</v>
      </c>
      <c r="E85" s="44" t="s">
        <v>18</v>
      </c>
      <c r="F85" s="45" t="s">
        <v>17</v>
      </c>
      <c r="G85" s="46" t="s">
        <v>16</v>
      </c>
      <c r="H85" s="32"/>
      <c r="I85" s="37" t="s">
        <v>199</v>
      </c>
      <c r="J85" s="6" t="s">
        <v>171</v>
      </c>
    </row>
    <row r="86" ht="37.5" customHeight="1" spans="2:10">
      <c r="B86" s="42">
        <v>72</v>
      </c>
      <c r="C86" s="43" t="s">
        <v>200</v>
      </c>
      <c r="D86" s="7">
        <v>2</v>
      </c>
      <c r="E86" s="44" t="s">
        <v>18</v>
      </c>
      <c r="F86" s="45" t="s">
        <v>17</v>
      </c>
      <c r="G86" s="46" t="s">
        <v>16</v>
      </c>
      <c r="H86" s="32"/>
      <c r="I86" s="37" t="s">
        <v>201</v>
      </c>
      <c r="J86" s="6" t="s">
        <v>171</v>
      </c>
    </row>
    <row r="87" ht="37.5" customHeight="1" spans="2:10">
      <c r="B87" s="42">
        <v>73</v>
      </c>
      <c r="C87" s="43" t="s">
        <v>202</v>
      </c>
      <c r="D87" s="7">
        <v>2</v>
      </c>
      <c r="E87" s="44" t="s">
        <v>18</v>
      </c>
      <c r="F87" s="45" t="s">
        <v>17</v>
      </c>
      <c r="G87" s="46" t="s">
        <v>16</v>
      </c>
      <c r="H87" s="32"/>
      <c r="I87" s="37" t="s">
        <v>203</v>
      </c>
      <c r="J87" s="6" t="s">
        <v>171</v>
      </c>
    </row>
    <row r="88" ht="37.5" customHeight="1" spans="2:10">
      <c r="B88" s="42">
        <v>74</v>
      </c>
      <c r="C88" s="43" t="s">
        <v>204</v>
      </c>
      <c r="D88" s="7">
        <v>2</v>
      </c>
      <c r="E88" s="44" t="s">
        <v>18</v>
      </c>
      <c r="F88" s="45" t="s">
        <v>17</v>
      </c>
      <c r="G88" s="46" t="s">
        <v>16</v>
      </c>
      <c r="H88" s="32"/>
      <c r="I88" s="37" t="s">
        <v>205</v>
      </c>
      <c r="J88" s="6" t="s">
        <v>171</v>
      </c>
    </row>
    <row r="89" ht="37.5" customHeight="1" spans="2:10">
      <c r="B89" s="42">
        <v>75</v>
      </c>
      <c r="C89" s="43" t="s">
        <v>206</v>
      </c>
      <c r="D89" s="7">
        <v>2</v>
      </c>
      <c r="E89" s="44" t="s">
        <v>18</v>
      </c>
      <c r="F89" s="45" t="s">
        <v>17</v>
      </c>
      <c r="G89" s="46" t="s">
        <v>16</v>
      </c>
      <c r="H89" s="32"/>
      <c r="I89" s="37" t="s">
        <v>207</v>
      </c>
      <c r="J89" s="6" t="s">
        <v>171</v>
      </c>
    </row>
    <row r="90" ht="37.5" customHeight="1" spans="2:10">
      <c r="B90" s="42">
        <v>76</v>
      </c>
      <c r="C90" s="43" t="s">
        <v>208</v>
      </c>
      <c r="D90" s="7">
        <v>2</v>
      </c>
      <c r="E90" s="44" t="s">
        <v>18</v>
      </c>
      <c r="F90" s="45" t="s">
        <v>17</v>
      </c>
      <c r="G90" s="46" t="s">
        <v>16</v>
      </c>
      <c r="H90" s="32"/>
      <c r="I90" s="37" t="s">
        <v>209</v>
      </c>
      <c r="J90" s="6" t="s">
        <v>171</v>
      </c>
    </row>
    <row r="91" ht="37.5" customHeight="1" spans="2:10">
      <c r="B91" s="42">
        <v>77</v>
      </c>
      <c r="C91" s="43" t="s">
        <v>210</v>
      </c>
      <c r="D91" s="7">
        <v>2</v>
      </c>
      <c r="E91" s="44" t="s">
        <v>18</v>
      </c>
      <c r="F91" s="45" t="s">
        <v>17</v>
      </c>
      <c r="G91" s="46" t="s">
        <v>16</v>
      </c>
      <c r="H91" s="32"/>
      <c r="I91" s="37" t="s">
        <v>211</v>
      </c>
      <c r="J91" s="6" t="s">
        <v>171</v>
      </c>
    </row>
    <row r="92" ht="7.5" customHeight="1" spans="2:10">
      <c r="B92" s="33"/>
      <c r="C92" s="33"/>
      <c r="D92" s="33"/>
      <c r="E92" s="33"/>
      <c r="F92" s="33"/>
      <c r="G92" s="33"/>
      <c r="H92" s="33"/>
      <c r="I92" s="33"/>
      <c r="J92" s="33"/>
    </row>
    <row r="93" ht="37.5" customHeight="1" spans="2:10">
      <c r="B93" s="42">
        <v>78</v>
      </c>
      <c r="C93" s="43" t="s">
        <v>212</v>
      </c>
      <c r="D93" s="7">
        <v>2</v>
      </c>
      <c r="E93" s="44" t="s">
        <v>18</v>
      </c>
      <c r="F93" s="45" t="s">
        <v>17</v>
      </c>
      <c r="G93" s="46" t="s">
        <v>16</v>
      </c>
      <c r="H93" s="32"/>
      <c r="I93" s="37" t="s">
        <v>213</v>
      </c>
      <c r="J93" s="6" t="s">
        <v>171</v>
      </c>
    </row>
    <row r="94" ht="37.5" customHeight="1" spans="2:10">
      <c r="B94" s="42">
        <v>79</v>
      </c>
      <c r="C94" s="43" t="s">
        <v>214</v>
      </c>
      <c r="D94" s="7">
        <v>2</v>
      </c>
      <c r="E94" s="44" t="s">
        <v>18</v>
      </c>
      <c r="F94" s="45" t="s">
        <v>17</v>
      </c>
      <c r="G94" s="46" t="s">
        <v>16</v>
      </c>
      <c r="H94" s="32"/>
      <c r="I94" s="37" t="s">
        <v>215</v>
      </c>
      <c r="J94" s="6" t="s">
        <v>171</v>
      </c>
    </row>
    <row r="95" ht="37.5" customHeight="1" spans="2:10">
      <c r="B95" s="42">
        <v>80</v>
      </c>
      <c r="C95" s="43" t="s">
        <v>216</v>
      </c>
      <c r="D95" s="7">
        <v>2</v>
      </c>
      <c r="E95" s="44" t="s">
        <v>18</v>
      </c>
      <c r="F95" s="45" t="s">
        <v>17</v>
      </c>
      <c r="G95" s="46" t="s">
        <v>16</v>
      </c>
      <c r="H95" s="32"/>
      <c r="I95" s="37" t="s">
        <v>217</v>
      </c>
      <c r="J95" s="6" t="s">
        <v>171</v>
      </c>
    </row>
    <row r="96" ht="37.5" customHeight="1" spans="2:10">
      <c r="B96" s="42">
        <v>81</v>
      </c>
      <c r="C96" s="43" t="s">
        <v>218</v>
      </c>
      <c r="D96" s="7">
        <v>2</v>
      </c>
      <c r="E96" s="44" t="s">
        <v>18</v>
      </c>
      <c r="F96" s="45" t="s">
        <v>17</v>
      </c>
      <c r="G96" s="46" t="s">
        <v>16</v>
      </c>
      <c r="H96" s="32"/>
      <c r="I96" s="37" t="s">
        <v>219</v>
      </c>
      <c r="J96" s="6" t="s">
        <v>171</v>
      </c>
    </row>
    <row r="97" ht="37.5" customHeight="1" spans="2:10">
      <c r="B97" s="42">
        <v>82</v>
      </c>
      <c r="C97" s="43" t="s">
        <v>220</v>
      </c>
      <c r="D97" s="7">
        <v>2</v>
      </c>
      <c r="E97" s="44" t="s">
        <v>18</v>
      </c>
      <c r="F97" s="45" t="s">
        <v>17</v>
      </c>
      <c r="G97" s="46" t="s">
        <v>16</v>
      </c>
      <c r="H97" s="32"/>
      <c r="I97" s="37" t="s">
        <v>221</v>
      </c>
      <c r="J97" s="6" t="s">
        <v>171</v>
      </c>
    </row>
    <row r="98" ht="37.5" customHeight="1" spans="2:10">
      <c r="B98" s="42">
        <v>83</v>
      </c>
      <c r="C98" s="43" t="s">
        <v>222</v>
      </c>
      <c r="D98" s="7">
        <v>2</v>
      </c>
      <c r="E98" s="44" t="s">
        <v>18</v>
      </c>
      <c r="F98" s="45" t="s">
        <v>17</v>
      </c>
      <c r="G98" s="46" t="s">
        <v>16</v>
      </c>
      <c r="H98" s="32"/>
      <c r="I98" s="37" t="s">
        <v>223</v>
      </c>
      <c r="J98" s="6" t="s">
        <v>171</v>
      </c>
    </row>
    <row r="99" ht="37.5" customHeight="1" spans="2:10">
      <c r="B99" s="42">
        <v>84</v>
      </c>
      <c r="C99" s="43" t="s">
        <v>224</v>
      </c>
      <c r="D99" s="7">
        <v>2</v>
      </c>
      <c r="E99" s="44" t="s">
        <v>18</v>
      </c>
      <c r="F99" s="45" t="s">
        <v>17</v>
      </c>
      <c r="G99" s="46" t="s">
        <v>16</v>
      </c>
      <c r="H99" s="32"/>
      <c r="I99" s="37" t="s">
        <v>225</v>
      </c>
      <c r="J99" s="6" t="s">
        <v>171</v>
      </c>
    </row>
    <row r="100" ht="7.5" customHeight="1" spans="2:10">
      <c r="B100" s="33"/>
      <c r="C100" s="33"/>
      <c r="D100" s="33"/>
      <c r="E100" s="33"/>
      <c r="F100" s="33"/>
      <c r="G100" s="33"/>
      <c r="H100" s="33"/>
      <c r="I100" s="33"/>
      <c r="J100" s="33"/>
    </row>
    <row r="101" ht="13.5" customHeight="1" spans="2:10">
      <c r="B101" s="47" t="s">
        <v>226</v>
      </c>
      <c r="C101" s="47"/>
      <c r="D101" s="47"/>
      <c r="E101" s="47"/>
      <c r="F101" s="47"/>
      <c r="G101" s="47"/>
      <c r="H101" s="47"/>
      <c r="I101" s="47"/>
      <c r="J101" s="47"/>
    </row>
    <row r="102" ht="9.75" customHeight="1" spans="2:10">
      <c r="B102" s="41"/>
      <c r="C102" s="41"/>
      <c r="D102" s="41"/>
      <c r="E102" s="41"/>
      <c r="F102" s="41"/>
      <c r="G102" s="41"/>
      <c r="H102" s="41"/>
      <c r="I102" s="41"/>
      <c r="J102" s="41"/>
    </row>
    <row r="103" ht="37.5" customHeight="1" spans="2:10">
      <c r="B103" s="48">
        <v>85</v>
      </c>
      <c r="C103" s="49" t="s">
        <v>227</v>
      </c>
      <c r="D103" s="10">
        <v>3</v>
      </c>
      <c r="E103" s="50" t="s">
        <v>21</v>
      </c>
      <c r="F103" s="51" t="s">
        <v>20</v>
      </c>
      <c r="G103" s="52" t="s">
        <v>19</v>
      </c>
      <c r="H103" s="32"/>
      <c r="I103" s="37" t="s">
        <v>228</v>
      </c>
      <c r="J103" s="6" t="s">
        <v>229</v>
      </c>
    </row>
    <row r="104" ht="37.5" customHeight="1" spans="2:10">
      <c r="B104" s="48">
        <v>86</v>
      </c>
      <c r="C104" s="49" t="s">
        <v>230</v>
      </c>
      <c r="D104" s="10">
        <v>3</v>
      </c>
      <c r="E104" s="50" t="s">
        <v>21</v>
      </c>
      <c r="F104" s="51" t="s">
        <v>20</v>
      </c>
      <c r="G104" s="52" t="s">
        <v>19</v>
      </c>
      <c r="H104" s="32"/>
      <c r="I104" s="37" t="s">
        <v>231</v>
      </c>
      <c r="J104" s="6" t="s">
        <v>229</v>
      </c>
    </row>
    <row r="105" ht="37.5" customHeight="1" spans="2:10">
      <c r="B105" s="48">
        <v>87</v>
      </c>
      <c r="C105" s="49" t="s">
        <v>232</v>
      </c>
      <c r="D105" s="10">
        <v>3</v>
      </c>
      <c r="E105" s="50" t="s">
        <v>21</v>
      </c>
      <c r="F105" s="51" t="s">
        <v>20</v>
      </c>
      <c r="G105" s="52" t="s">
        <v>19</v>
      </c>
      <c r="H105" s="32"/>
      <c r="I105" s="37" t="s">
        <v>233</v>
      </c>
      <c r="J105" s="6" t="s">
        <v>229</v>
      </c>
    </row>
    <row r="106" ht="37.5" customHeight="1" spans="2:10">
      <c r="B106" s="48">
        <v>88</v>
      </c>
      <c r="C106" s="49" t="s">
        <v>234</v>
      </c>
      <c r="D106" s="10">
        <v>3</v>
      </c>
      <c r="E106" s="50" t="s">
        <v>21</v>
      </c>
      <c r="F106" s="51" t="s">
        <v>20</v>
      </c>
      <c r="G106" s="52" t="s">
        <v>19</v>
      </c>
      <c r="H106" s="32"/>
      <c r="I106" s="37" t="s">
        <v>235</v>
      </c>
      <c r="J106" s="6" t="s">
        <v>229</v>
      </c>
    </row>
    <row r="107" ht="37.5" customHeight="1" spans="2:10">
      <c r="B107" s="48">
        <v>89</v>
      </c>
      <c r="C107" s="49" t="s">
        <v>236</v>
      </c>
      <c r="D107" s="10">
        <v>3</v>
      </c>
      <c r="E107" s="50" t="s">
        <v>21</v>
      </c>
      <c r="F107" s="51" t="s">
        <v>20</v>
      </c>
      <c r="G107" s="52" t="s">
        <v>19</v>
      </c>
      <c r="H107" s="32"/>
      <c r="I107" s="37" t="s">
        <v>237</v>
      </c>
      <c r="J107" s="6" t="s">
        <v>229</v>
      </c>
    </row>
    <row r="108" ht="37.5" customHeight="1" spans="2:10">
      <c r="B108" s="48">
        <v>90</v>
      </c>
      <c r="C108" s="49" t="s">
        <v>238</v>
      </c>
      <c r="D108" s="10">
        <v>3</v>
      </c>
      <c r="E108" s="50" t="s">
        <v>21</v>
      </c>
      <c r="F108" s="51" t="s">
        <v>20</v>
      </c>
      <c r="G108" s="52" t="s">
        <v>19</v>
      </c>
      <c r="H108" s="32"/>
      <c r="I108" s="37" t="s">
        <v>239</v>
      </c>
      <c r="J108" s="6" t="s">
        <v>229</v>
      </c>
    </row>
    <row r="109" ht="37.5" customHeight="1" spans="2:10">
      <c r="B109" s="48">
        <v>91</v>
      </c>
      <c r="C109" s="49" t="s">
        <v>240</v>
      </c>
      <c r="D109" s="10">
        <v>3</v>
      </c>
      <c r="E109" s="50" t="s">
        <v>21</v>
      </c>
      <c r="F109" s="51" t="s">
        <v>20</v>
      </c>
      <c r="G109" s="52" t="s">
        <v>19</v>
      </c>
      <c r="H109" s="32"/>
      <c r="I109" s="37" t="s">
        <v>241</v>
      </c>
      <c r="J109" s="6" t="s">
        <v>229</v>
      </c>
    </row>
    <row r="110" ht="7.5" customHeight="1" spans="2:10">
      <c r="B110" s="33"/>
      <c r="C110" s="33"/>
      <c r="D110" s="33"/>
      <c r="E110" s="33"/>
      <c r="F110" s="33"/>
      <c r="G110" s="33"/>
      <c r="H110" s="33"/>
      <c r="I110" s="33"/>
      <c r="J110" s="33"/>
    </row>
    <row r="111" ht="37.5" customHeight="1" spans="2:10">
      <c r="B111" s="48">
        <v>92</v>
      </c>
      <c r="C111" s="49" t="s">
        <v>242</v>
      </c>
      <c r="D111" s="10">
        <v>3</v>
      </c>
      <c r="E111" s="50" t="s">
        <v>21</v>
      </c>
      <c r="F111" s="51" t="s">
        <v>20</v>
      </c>
      <c r="G111" s="52" t="s">
        <v>19</v>
      </c>
      <c r="H111" s="32"/>
      <c r="I111" s="37" t="s">
        <v>243</v>
      </c>
      <c r="J111" s="6" t="s">
        <v>229</v>
      </c>
    </row>
    <row r="112" ht="37.5" customHeight="1" spans="2:10">
      <c r="B112" s="48">
        <v>93</v>
      </c>
      <c r="C112" s="49" t="s">
        <v>244</v>
      </c>
      <c r="D112" s="10">
        <v>3</v>
      </c>
      <c r="E112" s="50" t="s">
        <v>21</v>
      </c>
      <c r="F112" s="51" t="s">
        <v>20</v>
      </c>
      <c r="G112" s="52" t="s">
        <v>19</v>
      </c>
      <c r="H112" s="32"/>
      <c r="I112" s="37" t="s">
        <v>245</v>
      </c>
      <c r="J112" s="6" t="s">
        <v>229</v>
      </c>
    </row>
    <row r="113" ht="37.5" customHeight="1" spans="2:10">
      <c r="B113" s="48">
        <v>94</v>
      </c>
      <c r="C113" s="49" t="s">
        <v>246</v>
      </c>
      <c r="D113" s="10">
        <v>3</v>
      </c>
      <c r="E113" s="50" t="s">
        <v>21</v>
      </c>
      <c r="F113" s="51" t="s">
        <v>20</v>
      </c>
      <c r="G113" s="52" t="s">
        <v>19</v>
      </c>
      <c r="H113" s="32"/>
      <c r="I113" s="37" t="s">
        <v>247</v>
      </c>
      <c r="J113" s="6" t="s">
        <v>229</v>
      </c>
    </row>
    <row r="114" ht="37.5" customHeight="1" spans="2:10">
      <c r="B114" s="48">
        <v>95</v>
      </c>
      <c r="C114" s="49" t="s">
        <v>248</v>
      </c>
      <c r="D114" s="10">
        <v>3</v>
      </c>
      <c r="E114" s="50" t="s">
        <v>21</v>
      </c>
      <c r="F114" s="51" t="s">
        <v>20</v>
      </c>
      <c r="G114" s="52" t="s">
        <v>19</v>
      </c>
      <c r="H114" s="32"/>
      <c r="I114" s="37" t="s">
        <v>249</v>
      </c>
      <c r="J114" s="6" t="s">
        <v>229</v>
      </c>
    </row>
    <row r="115" ht="37.5" customHeight="1" spans="2:10">
      <c r="B115" s="48">
        <v>96</v>
      </c>
      <c r="C115" s="49" t="s">
        <v>250</v>
      </c>
      <c r="D115" s="10">
        <v>3</v>
      </c>
      <c r="E115" s="50" t="s">
        <v>21</v>
      </c>
      <c r="F115" s="51" t="s">
        <v>20</v>
      </c>
      <c r="G115" s="52" t="s">
        <v>19</v>
      </c>
      <c r="H115" s="32"/>
      <c r="I115" s="37" t="s">
        <v>251</v>
      </c>
      <c r="J115" s="6" t="s">
        <v>229</v>
      </c>
    </row>
    <row r="116" ht="37.5" customHeight="1" spans="2:10">
      <c r="B116" s="48">
        <v>97</v>
      </c>
      <c r="C116" s="49" t="s">
        <v>252</v>
      </c>
      <c r="D116" s="10">
        <v>3</v>
      </c>
      <c r="E116" s="50" t="s">
        <v>21</v>
      </c>
      <c r="F116" s="51" t="s">
        <v>20</v>
      </c>
      <c r="G116" s="52" t="s">
        <v>19</v>
      </c>
      <c r="H116" s="32"/>
      <c r="I116" s="37" t="s">
        <v>253</v>
      </c>
      <c r="J116" s="6" t="s">
        <v>229</v>
      </c>
    </row>
    <row r="117" ht="37.5" customHeight="1" spans="2:10">
      <c r="B117" s="48">
        <v>98</v>
      </c>
      <c r="C117" s="49" t="s">
        <v>254</v>
      </c>
      <c r="D117" s="10">
        <v>3</v>
      </c>
      <c r="E117" s="50" t="s">
        <v>21</v>
      </c>
      <c r="F117" s="51" t="s">
        <v>20</v>
      </c>
      <c r="G117" s="52" t="s">
        <v>19</v>
      </c>
      <c r="H117" s="32"/>
      <c r="I117" s="37" t="s">
        <v>255</v>
      </c>
      <c r="J117" s="6" t="s">
        <v>229</v>
      </c>
    </row>
    <row r="118" ht="7.5" customHeight="1" spans="2:10">
      <c r="B118" s="33"/>
      <c r="C118" s="33"/>
      <c r="D118" s="33"/>
      <c r="E118" s="33"/>
      <c r="F118" s="33"/>
      <c r="G118" s="33"/>
      <c r="H118" s="33"/>
      <c r="I118" s="33"/>
      <c r="J118" s="33"/>
    </row>
    <row r="119" ht="37.5" customHeight="1" spans="2:10">
      <c r="B119" s="48">
        <v>99</v>
      </c>
      <c r="C119" s="49" t="s">
        <v>256</v>
      </c>
      <c r="D119" s="10">
        <v>3</v>
      </c>
      <c r="E119" s="50" t="s">
        <v>21</v>
      </c>
      <c r="F119" s="51" t="s">
        <v>20</v>
      </c>
      <c r="G119" s="52" t="s">
        <v>19</v>
      </c>
      <c r="H119" s="32"/>
      <c r="I119" s="37" t="s">
        <v>257</v>
      </c>
      <c r="J119" s="6" t="s">
        <v>229</v>
      </c>
    </row>
    <row r="120" ht="37.5" customHeight="1" spans="2:10">
      <c r="B120" s="48">
        <v>100</v>
      </c>
      <c r="C120" s="49" t="s">
        <v>258</v>
      </c>
      <c r="D120" s="10">
        <v>3</v>
      </c>
      <c r="E120" s="50" t="s">
        <v>21</v>
      </c>
      <c r="F120" s="51" t="s">
        <v>20</v>
      </c>
      <c r="G120" s="52" t="s">
        <v>19</v>
      </c>
      <c r="H120" s="32"/>
      <c r="I120" s="37" t="s">
        <v>259</v>
      </c>
      <c r="J120" s="6" t="s">
        <v>229</v>
      </c>
    </row>
    <row r="121" ht="37.5" customHeight="1" spans="2:10">
      <c r="B121" s="48">
        <v>101</v>
      </c>
      <c r="C121" s="49" t="s">
        <v>260</v>
      </c>
      <c r="D121" s="10">
        <v>3</v>
      </c>
      <c r="E121" s="50" t="s">
        <v>21</v>
      </c>
      <c r="F121" s="51" t="s">
        <v>20</v>
      </c>
      <c r="G121" s="52" t="s">
        <v>19</v>
      </c>
      <c r="H121" s="32"/>
      <c r="I121" s="37" t="s">
        <v>261</v>
      </c>
      <c r="J121" s="6" t="s">
        <v>229</v>
      </c>
    </row>
    <row r="122" ht="37.5" customHeight="1" spans="2:10">
      <c r="B122" s="48">
        <v>102</v>
      </c>
      <c r="C122" s="49" t="s">
        <v>262</v>
      </c>
      <c r="D122" s="10">
        <v>3</v>
      </c>
      <c r="E122" s="50" t="s">
        <v>21</v>
      </c>
      <c r="F122" s="51" t="s">
        <v>20</v>
      </c>
      <c r="G122" s="52" t="s">
        <v>19</v>
      </c>
      <c r="H122" s="32"/>
      <c r="I122" s="37" t="s">
        <v>263</v>
      </c>
      <c r="J122" s="6" t="s">
        <v>229</v>
      </c>
    </row>
    <row r="123" ht="37.5" customHeight="1" spans="2:10">
      <c r="B123" s="48">
        <v>103</v>
      </c>
      <c r="C123" s="49" t="s">
        <v>264</v>
      </c>
      <c r="D123" s="10">
        <v>3</v>
      </c>
      <c r="E123" s="50" t="s">
        <v>21</v>
      </c>
      <c r="F123" s="51" t="s">
        <v>20</v>
      </c>
      <c r="G123" s="52" t="s">
        <v>19</v>
      </c>
      <c r="H123" s="32"/>
      <c r="I123" s="37" t="s">
        <v>265</v>
      </c>
      <c r="J123" s="6" t="s">
        <v>229</v>
      </c>
    </row>
    <row r="124" ht="37.5" customHeight="1" spans="2:10">
      <c r="B124" s="48">
        <v>104</v>
      </c>
      <c r="C124" s="49" t="s">
        <v>266</v>
      </c>
      <c r="D124" s="10">
        <v>3</v>
      </c>
      <c r="E124" s="50" t="s">
        <v>21</v>
      </c>
      <c r="F124" s="51" t="s">
        <v>20</v>
      </c>
      <c r="G124" s="52" t="s">
        <v>19</v>
      </c>
      <c r="H124" s="32"/>
      <c r="I124" s="37" t="s">
        <v>267</v>
      </c>
      <c r="J124" s="6" t="s">
        <v>229</v>
      </c>
    </row>
    <row r="125" ht="37.5" customHeight="1" spans="2:10">
      <c r="B125" s="48">
        <v>105</v>
      </c>
      <c r="C125" s="49" t="s">
        <v>268</v>
      </c>
      <c r="D125" s="10">
        <v>3</v>
      </c>
      <c r="E125" s="50" t="s">
        <v>21</v>
      </c>
      <c r="F125" s="51" t="s">
        <v>20</v>
      </c>
      <c r="G125" s="52" t="s">
        <v>19</v>
      </c>
      <c r="H125" s="32"/>
      <c r="I125" s="37" t="s">
        <v>269</v>
      </c>
      <c r="J125" s="6" t="s">
        <v>229</v>
      </c>
    </row>
    <row r="126" ht="7.5" customHeight="1" spans="2:10">
      <c r="B126" s="33"/>
      <c r="C126" s="33"/>
      <c r="D126" s="33"/>
      <c r="E126" s="33"/>
      <c r="F126" s="33"/>
      <c r="G126" s="33"/>
      <c r="H126" s="33"/>
      <c r="I126" s="33"/>
      <c r="J126" s="33"/>
    </row>
    <row r="127" ht="37.5" customHeight="1" spans="2:10">
      <c r="B127" s="48">
        <v>106</v>
      </c>
      <c r="C127" s="49" t="s">
        <v>270</v>
      </c>
      <c r="D127" s="10">
        <v>3</v>
      </c>
      <c r="E127" s="50" t="s">
        <v>21</v>
      </c>
      <c r="F127" s="51" t="s">
        <v>20</v>
      </c>
      <c r="G127" s="52" t="s">
        <v>19</v>
      </c>
      <c r="H127" s="32"/>
      <c r="I127" s="37" t="s">
        <v>271</v>
      </c>
      <c r="J127" s="6" t="s">
        <v>229</v>
      </c>
    </row>
    <row r="128" ht="37.5" customHeight="1" spans="2:10">
      <c r="B128" s="48">
        <v>107</v>
      </c>
      <c r="C128" s="49" t="s">
        <v>272</v>
      </c>
      <c r="D128" s="10">
        <v>3</v>
      </c>
      <c r="E128" s="50" t="s">
        <v>21</v>
      </c>
      <c r="F128" s="51" t="s">
        <v>20</v>
      </c>
      <c r="G128" s="52" t="s">
        <v>19</v>
      </c>
      <c r="H128" s="32"/>
      <c r="I128" s="37" t="s">
        <v>273</v>
      </c>
      <c r="J128" s="6" t="s">
        <v>229</v>
      </c>
    </row>
    <row r="129" ht="37.5" customHeight="1" spans="2:10">
      <c r="B129" s="48">
        <v>108</v>
      </c>
      <c r="C129" s="49" t="s">
        <v>274</v>
      </c>
      <c r="D129" s="10">
        <v>3</v>
      </c>
      <c r="E129" s="50" t="s">
        <v>21</v>
      </c>
      <c r="F129" s="51" t="s">
        <v>20</v>
      </c>
      <c r="G129" s="52" t="s">
        <v>19</v>
      </c>
      <c r="H129" s="32"/>
      <c r="I129" s="37" t="s">
        <v>275</v>
      </c>
      <c r="J129" s="6" t="s">
        <v>229</v>
      </c>
    </row>
    <row r="130" ht="37.5" customHeight="1" spans="2:10">
      <c r="B130" s="48">
        <v>109</v>
      </c>
      <c r="C130" s="49" t="s">
        <v>276</v>
      </c>
      <c r="D130" s="10">
        <v>3</v>
      </c>
      <c r="E130" s="50" t="s">
        <v>21</v>
      </c>
      <c r="F130" s="51" t="s">
        <v>20</v>
      </c>
      <c r="G130" s="52" t="s">
        <v>19</v>
      </c>
      <c r="H130" s="32"/>
      <c r="I130" s="37" t="s">
        <v>277</v>
      </c>
      <c r="J130" s="6" t="s">
        <v>229</v>
      </c>
    </row>
    <row r="131" ht="37.5" customHeight="1" spans="2:10">
      <c r="B131" s="48">
        <v>110</v>
      </c>
      <c r="C131" s="49" t="s">
        <v>278</v>
      </c>
      <c r="D131" s="10">
        <v>3</v>
      </c>
      <c r="E131" s="50" t="s">
        <v>21</v>
      </c>
      <c r="F131" s="51" t="s">
        <v>20</v>
      </c>
      <c r="G131" s="52" t="s">
        <v>19</v>
      </c>
      <c r="H131" s="32"/>
      <c r="I131" s="37" t="s">
        <v>279</v>
      </c>
      <c r="J131" s="6" t="s">
        <v>229</v>
      </c>
    </row>
    <row r="132" ht="37.5" customHeight="1" spans="2:10">
      <c r="B132" s="48">
        <v>111</v>
      </c>
      <c r="C132" s="49" t="s">
        <v>280</v>
      </c>
      <c r="D132" s="10">
        <v>3</v>
      </c>
      <c r="E132" s="50" t="s">
        <v>21</v>
      </c>
      <c r="F132" s="51" t="s">
        <v>20</v>
      </c>
      <c r="G132" s="52" t="s">
        <v>19</v>
      </c>
      <c r="H132" s="32"/>
      <c r="I132" s="37" t="s">
        <v>281</v>
      </c>
      <c r="J132" s="6" t="s">
        <v>229</v>
      </c>
    </row>
    <row r="133" ht="37.5" customHeight="1" spans="2:10">
      <c r="B133" s="48">
        <v>112</v>
      </c>
      <c r="C133" s="49" t="s">
        <v>282</v>
      </c>
      <c r="D133" s="10">
        <v>3</v>
      </c>
      <c r="E133" s="50" t="s">
        <v>21</v>
      </c>
      <c r="F133" s="51" t="s">
        <v>20</v>
      </c>
      <c r="G133" s="52" t="s">
        <v>19</v>
      </c>
      <c r="H133" s="32"/>
      <c r="I133" s="37" t="s">
        <v>283</v>
      </c>
      <c r="J133" s="6" t="s">
        <v>229</v>
      </c>
    </row>
    <row r="134" ht="7.5" customHeight="1" spans="2:10">
      <c r="B134" s="33"/>
      <c r="C134" s="33"/>
      <c r="D134" s="33"/>
      <c r="E134" s="33"/>
      <c r="F134" s="33"/>
      <c r="G134" s="33"/>
      <c r="H134" s="33"/>
      <c r="I134" s="33"/>
      <c r="J134" s="33"/>
    </row>
    <row r="135" ht="13.5" customHeight="1" spans="2:10">
      <c r="B135" s="53" t="s">
        <v>284</v>
      </c>
      <c r="C135" s="53"/>
      <c r="D135" s="53"/>
      <c r="E135" s="53"/>
      <c r="F135" s="53"/>
      <c r="G135" s="53"/>
      <c r="H135" s="53"/>
      <c r="I135" s="53"/>
      <c r="J135" s="53"/>
    </row>
    <row r="136" ht="9.75" customHeight="1" spans="2:10">
      <c r="B136" s="41"/>
      <c r="C136" s="41"/>
      <c r="D136" s="41"/>
      <c r="E136" s="41"/>
      <c r="F136" s="41"/>
      <c r="G136" s="41"/>
      <c r="H136" s="41"/>
      <c r="I136" s="41"/>
      <c r="J136" s="41"/>
    </row>
    <row r="137" ht="37.5" customHeight="1" spans="2:10">
      <c r="B137" s="54">
        <v>113</v>
      </c>
      <c r="C137" s="55" t="s">
        <v>285</v>
      </c>
      <c r="D137" s="13">
        <v>4</v>
      </c>
      <c r="E137" s="56" t="s">
        <v>24</v>
      </c>
      <c r="F137" s="57" t="s">
        <v>23</v>
      </c>
      <c r="G137" s="58" t="s">
        <v>22</v>
      </c>
      <c r="H137" s="32"/>
      <c r="I137" s="37" t="s">
        <v>286</v>
      </c>
      <c r="J137" s="6" t="s">
        <v>287</v>
      </c>
    </row>
    <row r="138" ht="37.5" customHeight="1" spans="2:10">
      <c r="B138" s="54">
        <v>114</v>
      </c>
      <c r="C138" s="55" t="s">
        <v>288</v>
      </c>
      <c r="D138" s="13">
        <v>4</v>
      </c>
      <c r="E138" s="56" t="s">
        <v>24</v>
      </c>
      <c r="F138" s="57" t="s">
        <v>23</v>
      </c>
      <c r="G138" s="58" t="s">
        <v>22</v>
      </c>
      <c r="H138" s="32"/>
      <c r="I138" s="37" t="s">
        <v>289</v>
      </c>
      <c r="J138" s="6" t="s">
        <v>287</v>
      </c>
    </row>
    <row r="139" ht="37.5" customHeight="1" spans="2:10">
      <c r="B139" s="54">
        <v>115</v>
      </c>
      <c r="C139" s="55" t="s">
        <v>290</v>
      </c>
      <c r="D139" s="13">
        <v>4</v>
      </c>
      <c r="E139" s="56" t="s">
        <v>24</v>
      </c>
      <c r="F139" s="57" t="s">
        <v>23</v>
      </c>
      <c r="G139" s="58" t="s">
        <v>22</v>
      </c>
      <c r="H139" s="32"/>
      <c r="I139" s="37" t="s">
        <v>291</v>
      </c>
      <c r="J139" s="6" t="s">
        <v>287</v>
      </c>
    </row>
    <row r="140" ht="37.5" customHeight="1" spans="2:10">
      <c r="B140" s="54">
        <v>116</v>
      </c>
      <c r="C140" s="55" t="s">
        <v>292</v>
      </c>
      <c r="D140" s="13">
        <v>4</v>
      </c>
      <c r="E140" s="56" t="s">
        <v>24</v>
      </c>
      <c r="F140" s="57" t="s">
        <v>23</v>
      </c>
      <c r="G140" s="58" t="s">
        <v>22</v>
      </c>
      <c r="H140" s="32"/>
      <c r="I140" s="37" t="s">
        <v>293</v>
      </c>
      <c r="J140" s="6" t="s">
        <v>287</v>
      </c>
    </row>
    <row r="141" ht="37.5" customHeight="1" spans="2:10">
      <c r="B141" s="54">
        <v>117</v>
      </c>
      <c r="C141" s="55" t="s">
        <v>294</v>
      </c>
      <c r="D141" s="13">
        <v>4</v>
      </c>
      <c r="E141" s="56" t="s">
        <v>24</v>
      </c>
      <c r="F141" s="57" t="s">
        <v>23</v>
      </c>
      <c r="G141" s="58" t="s">
        <v>22</v>
      </c>
      <c r="H141" s="32"/>
      <c r="I141" s="37" t="s">
        <v>295</v>
      </c>
      <c r="J141" s="6" t="s">
        <v>287</v>
      </c>
    </row>
    <row r="142" ht="37.5" customHeight="1" spans="2:10">
      <c r="B142" s="54">
        <v>118</v>
      </c>
      <c r="C142" s="55" t="s">
        <v>296</v>
      </c>
      <c r="D142" s="13">
        <v>4</v>
      </c>
      <c r="E142" s="56" t="s">
        <v>24</v>
      </c>
      <c r="F142" s="57" t="s">
        <v>23</v>
      </c>
      <c r="G142" s="58" t="s">
        <v>22</v>
      </c>
      <c r="H142" s="32"/>
      <c r="I142" s="37" t="s">
        <v>297</v>
      </c>
      <c r="J142" s="6" t="s">
        <v>287</v>
      </c>
    </row>
    <row r="143" ht="37.5" customHeight="1" spans="2:10">
      <c r="B143" s="54">
        <v>119</v>
      </c>
      <c r="C143" s="55" t="s">
        <v>298</v>
      </c>
      <c r="D143" s="13">
        <v>4</v>
      </c>
      <c r="E143" s="56" t="s">
        <v>24</v>
      </c>
      <c r="F143" s="57" t="s">
        <v>23</v>
      </c>
      <c r="G143" s="58" t="s">
        <v>22</v>
      </c>
      <c r="H143" s="32"/>
      <c r="I143" s="37" t="s">
        <v>299</v>
      </c>
      <c r="J143" s="6" t="s">
        <v>287</v>
      </c>
    </row>
    <row r="144" ht="7.5" customHeight="1" spans="2:10">
      <c r="B144" s="33"/>
      <c r="C144" s="33"/>
      <c r="D144" s="33"/>
      <c r="E144" s="33"/>
      <c r="F144" s="33"/>
      <c r="G144" s="33"/>
      <c r="H144" s="33"/>
      <c r="I144" s="33"/>
      <c r="J144" s="33"/>
    </row>
    <row r="145" ht="37.5" customHeight="1" spans="2:10">
      <c r="B145" s="54">
        <v>120</v>
      </c>
      <c r="C145" s="55" t="s">
        <v>300</v>
      </c>
      <c r="D145" s="13">
        <v>4</v>
      </c>
      <c r="E145" s="56" t="s">
        <v>24</v>
      </c>
      <c r="F145" s="57" t="s">
        <v>23</v>
      </c>
      <c r="G145" s="58" t="s">
        <v>22</v>
      </c>
      <c r="H145" s="32"/>
      <c r="I145" s="37" t="s">
        <v>301</v>
      </c>
      <c r="J145" s="6" t="s">
        <v>287</v>
      </c>
    </row>
    <row r="146" ht="37.5" customHeight="1" spans="2:10">
      <c r="B146" s="54">
        <v>121</v>
      </c>
      <c r="C146" s="55" t="s">
        <v>302</v>
      </c>
      <c r="D146" s="13">
        <v>4</v>
      </c>
      <c r="E146" s="56" t="s">
        <v>24</v>
      </c>
      <c r="F146" s="57" t="s">
        <v>23</v>
      </c>
      <c r="G146" s="58" t="s">
        <v>22</v>
      </c>
      <c r="H146" s="32"/>
      <c r="I146" s="37" t="s">
        <v>303</v>
      </c>
      <c r="J146" s="6" t="s">
        <v>287</v>
      </c>
    </row>
    <row r="147" ht="37.5" customHeight="1" spans="2:10">
      <c r="B147" s="54">
        <v>122</v>
      </c>
      <c r="C147" s="55" t="s">
        <v>304</v>
      </c>
      <c r="D147" s="13">
        <v>4</v>
      </c>
      <c r="E147" s="56" t="s">
        <v>24</v>
      </c>
      <c r="F147" s="57" t="s">
        <v>23</v>
      </c>
      <c r="G147" s="58" t="s">
        <v>22</v>
      </c>
      <c r="H147" s="32"/>
      <c r="I147" s="37" t="s">
        <v>305</v>
      </c>
      <c r="J147" s="6" t="s">
        <v>287</v>
      </c>
    </row>
    <row r="148" ht="37.5" customHeight="1" spans="2:10">
      <c r="B148" s="54">
        <v>123</v>
      </c>
      <c r="C148" s="55" t="s">
        <v>306</v>
      </c>
      <c r="D148" s="13">
        <v>4</v>
      </c>
      <c r="E148" s="56" t="s">
        <v>24</v>
      </c>
      <c r="F148" s="57" t="s">
        <v>23</v>
      </c>
      <c r="G148" s="58" t="s">
        <v>22</v>
      </c>
      <c r="H148" s="32"/>
      <c r="I148" s="37" t="s">
        <v>307</v>
      </c>
      <c r="J148" s="6" t="s">
        <v>287</v>
      </c>
    </row>
    <row r="149" ht="37.5" customHeight="1" spans="2:10">
      <c r="B149" s="54">
        <v>124</v>
      </c>
      <c r="C149" s="55" t="s">
        <v>308</v>
      </c>
      <c r="D149" s="13">
        <v>4</v>
      </c>
      <c r="E149" s="56" t="s">
        <v>24</v>
      </c>
      <c r="F149" s="57" t="s">
        <v>23</v>
      </c>
      <c r="G149" s="58" t="s">
        <v>22</v>
      </c>
      <c r="H149" s="32"/>
      <c r="I149" s="37" t="s">
        <v>309</v>
      </c>
      <c r="J149" s="6" t="s">
        <v>287</v>
      </c>
    </row>
    <row r="150" ht="37.5" customHeight="1" spans="2:10">
      <c r="B150" s="54">
        <v>125</v>
      </c>
      <c r="C150" s="55" t="s">
        <v>310</v>
      </c>
      <c r="D150" s="13">
        <v>4</v>
      </c>
      <c r="E150" s="56" t="s">
        <v>24</v>
      </c>
      <c r="F150" s="57" t="s">
        <v>23</v>
      </c>
      <c r="G150" s="58" t="s">
        <v>22</v>
      </c>
      <c r="H150" s="32"/>
      <c r="I150" s="37" t="s">
        <v>311</v>
      </c>
      <c r="J150" s="6" t="s">
        <v>287</v>
      </c>
    </row>
    <row r="151" ht="37.5" customHeight="1" spans="2:10">
      <c r="B151" s="54">
        <v>126</v>
      </c>
      <c r="C151" s="55" t="s">
        <v>312</v>
      </c>
      <c r="D151" s="13">
        <v>4</v>
      </c>
      <c r="E151" s="56" t="s">
        <v>24</v>
      </c>
      <c r="F151" s="57" t="s">
        <v>23</v>
      </c>
      <c r="G151" s="58" t="s">
        <v>22</v>
      </c>
      <c r="H151" s="32"/>
      <c r="I151" s="37" t="s">
        <v>313</v>
      </c>
      <c r="J151" s="6" t="s">
        <v>287</v>
      </c>
    </row>
    <row r="152" ht="7.5" customHeight="1" spans="2:10">
      <c r="B152" s="33"/>
      <c r="C152" s="33"/>
      <c r="D152" s="33"/>
      <c r="E152" s="33"/>
      <c r="F152" s="33"/>
      <c r="G152" s="33"/>
      <c r="H152" s="33"/>
      <c r="I152" s="33"/>
      <c r="J152" s="33"/>
    </row>
    <row r="153" ht="37.5" customHeight="1" spans="2:10">
      <c r="B153" s="54">
        <v>127</v>
      </c>
      <c r="C153" s="55" t="s">
        <v>314</v>
      </c>
      <c r="D153" s="13">
        <v>4</v>
      </c>
      <c r="E153" s="56" t="s">
        <v>24</v>
      </c>
      <c r="F153" s="57" t="s">
        <v>23</v>
      </c>
      <c r="G153" s="58" t="s">
        <v>22</v>
      </c>
      <c r="H153" s="32"/>
      <c r="I153" s="37" t="s">
        <v>315</v>
      </c>
      <c r="J153" s="6" t="s">
        <v>287</v>
      </c>
    </row>
    <row r="154" ht="37.5" customHeight="1" spans="2:10">
      <c r="B154" s="54">
        <v>128</v>
      </c>
      <c r="C154" s="55" t="s">
        <v>316</v>
      </c>
      <c r="D154" s="13">
        <v>4</v>
      </c>
      <c r="E154" s="56" t="s">
        <v>24</v>
      </c>
      <c r="F154" s="57" t="s">
        <v>23</v>
      </c>
      <c r="G154" s="58" t="s">
        <v>22</v>
      </c>
      <c r="H154" s="32"/>
      <c r="I154" s="37" t="s">
        <v>317</v>
      </c>
      <c r="J154" s="6" t="s">
        <v>287</v>
      </c>
    </row>
    <row r="155" ht="37.5" customHeight="1" spans="2:10">
      <c r="B155" s="54">
        <v>129</v>
      </c>
      <c r="C155" s="55" t="s">
        <v>318</v>
      </c>
      <c r="D155" s="13">
        <v>4</v>
      </c>
      <c r="E155" s="56" t="s">
        <v>24</v>
      </c>
      <c r="F155" s="57" t="s">
        <v>23</v>
      </c>
      <c r="G155" s="58" t="s">
        <v>22</v>
      </c>
      <c r="H155" s="32"/>
      <c r="I155" s="37" t="s">
        <v>319</v>
      </c>
      <c r="J155" s="6" t="s">
        <v>287</v>
      </c>
    </row>
    <row r="156" ht="37.5" customHeight="1" spans="2:10">
      <c r="B156" s="54">
        <v>130</v>
      </c>
      <c r="C156" s="55" t="s">
        <v>320</v>
      </c>
      <c r="D156" s="13">
        <v>4</v>
      </c>
      <c r="E156" s="56" t="s">
        <v>24</v>
      </c>
      <c r="F156" s="57" t="s">
        <v>23</v>
      </c>
      <c r="G156" s="58" t="s">
        <v>22</v>
      </c>
      <c r="H156" s="32"/>
      <c r="I156" s="37" t="s">
        <v>321</v>
      </c>
      <c r="J156" s="6" t="s">
        <v>287</v>
      </c>
    </row>
    <row r="157" ht="37.5" customHeight="1" spans="2:10">
      <c r="B157" s="54">
        <v>131</v>
      </c>
      <c r="C157" s="55" t="s">
        <v>322</v>
      </c>
      <c r="D157" s="13">
        <v>4</v>
      </c>
      <c r="E157" s="56" t="s">
        <v>24</v>
      </c>
      <c r="F157" s="57" t="s">
        <v>23</v>
      </c>
      <c r="G157" s="58" t="s">
        <v>22</v>
      </c>
      <c r="H157" s="32"/>
      <c r="I157" s="37" t="s">
        <v>323</v>
      </c>
      <c r="J157" s="6" t="s">
        <v>287</v>
      </c>
    </row>
    <row r="158" ht="37.5" customHeight="1" spans="2:10">
      <c r="B158" s="54">
        <v>132</v>
      </c>
      <c r="C158" s="55" t="s">
        <v>324</v>
      </c>
      <c r="D158" s="13">
        <v>4</v>
      </c>
      <c r="E158" s="56" t="s">
        <v>24</v>
      </c>
      <c r="F158" s="57" t="s">
        <v>23</v>
      </c>
      <c r="G158" s="58" t="s">
        <v>22</v>
      </c>
      <c r="H158" s="32"/>
      <c r="I158" s="37" t="s">
        <v>325</v>
      </c>
      <c r="J158" s="6" t="s">
        <v>287</v>
      </c>
    </row>
    <row r="159" ht="37.5" customHeight="1" spans="2:10">
      <c r="B159" s="54">
        <v>133</v>
      </c>
      <c r="C159" s="55" t="s">
        <v>326</v>
      </c>
      <c r="D159" s="13">
        <v>4</v>
      </c>
      <c r="E159" s="56" t="s">
        <v>24</v>
      </c>
      <c r="F159" s="57" t="s">
        <v>23</v>
      </c>
      <c r="G159" s="58" t="s">
        <v>22</v>
      </c>
      <c r="H159" s="32"/>
      <c r="I159" s="37" t="s">
        <v>327</v>
      </c>
      <c r="J159" s="6" t="s">
        <v>287</v>
      </c>
    </row>
    <row r="160" ht="7.5" customHeight="1" spans="2:10">
      <c r="B160" s="33"/>
      <c r="C160" s="33"/>
      <c r="D160" s="33"/>
      <c r="E160" s="33"/>
      <c r="F160" s="33"/>
      <c r="G160" s="33"/>
      <c r="H160" s="33"/>
      <c r="I160" s="33"/>
      <c r="J160" s="33"/>
    </row>
    <row r="161" ht="37.5" customHeight="1" spans="2:10">
      <c r="B161" s="54">
        <v>134</v>
      </c>
      <c r="C161" s="55" t="s">
        <v>328</v>
      </c>
      <c r="D161" s="13">
        <v>4</v>
      </c>
      <c r="E161" s="56" t="s">
        <v>24</v>
      </c>
      <c r="F161" s="57" t="s">
        <v>23</v>
      </c>
      <c r="G161" s="58" t="s">
        <v>22</v>
      </c>
      <c r="H161" s="32"/>
      <c r="I161" s="37" t="s">
        <v>329</v>
      </c>
      <c r="J161" s="6" t="s">
        <v>287</v>
      </c>
    </row>
    <row r="162" ht="37.5" customHeight="1" spans="2:10">
      <c r="B162" s="54">
        <v>135</v>
      </c>
      <c r="C162" s="55" t="s">
        <v>330</v>
      </c>
      <c r="D162" s="13">
        <v>4</v>
      </c>
      <c r="E162" s="56" t="s">
        <v>24</v>
      </c>
      <c r="F162" s="57" t="s">
        <v>23</v>
      </c>
      <c r="G162" s="58" t="s">
        <v>22</v>
      </c>
      <c r="H162" s="32"/>
      <c r="I162" s="37" t="s">
        <v>331</v>
      </c>
      <c r="J162" s="6" t="s">
        <v>287</v>
      </c>
    </row>
    <row r="163" ht="37.5" customHeight="1" spans="2:10">
      <c r="B163" s="54">
        <v>136</v>
      </c>
      <c r="C163" s="55" t="s">
        <v>332</v>
      </c>
      <c r="D163" s="13">
        <v>4</v>
      </c>
      <c r="E163" s="56" t="s">
        <v>24</v>
      </c>
      <c r="F163" s="57" t="s">
        <v>23</v>
      </c>
      <c r="G163" s="58" t="s">
        <v>22</v>
      </c>
      <c r="H163" s="32"/>
      <c r="I163" s="37" t="s">
        <v>333</v>
      </c>
      <c r="J163" s="6" t="s">
        <v>287</v>
      </c>
    </row>
    <row r="164" ht="37.5" customHeight="1" spans="2:10">
      <c r="B164" s="54">
        <v>137</v>
      </c>
      <c r="C164" s="55" t="s">
        <v>334</v>
      </c>
      <c r="D164" s="13">
        <v>4</v>
      </c>
      <c r="E164" s="56" t="s">
        <v>24</v>
      </c>
      <c r="F164" s="57" t="s">
        <v>23</v>
      </c>
      <c r="G164" s="58" t="s">
        <v>22</v>
      </c>
      <c r="H164" s="32"/>
      <c r="I164" s="37" t="s">
        <v>335</v>
      </c>
      <c r="J164" s="6" t="s">
        <v>287</v>
      </c>
    </row>
    <row r="165" ht="37.5" customHeight="1" spans="2:10">
      <c r="B165" s="54">
        <v>138</v>
      </c>
      <c r="C165" s="55" t="s">
        <v>336</v>
      </c>
      <c r="D165" s="13">
        <v>4</v>
      </c>
      <c r="E165" s="56" t="s">
        <v>24</v>
      </c>
      <c r="F165" s="57" t="s">
        <v>23</v>
      </c>
      <c r="G165" s="58" t="s">
        <v>22</v>
      </c>
      <c r="H165" s="32"/>
      <c r="I165" s="37" t="s">
        <v>337</v>
      </c>
      <c r="J165" s="6" t="s">
        <v>287</v>
      </c>
    </row>
    <row r="166" ht="37.5" customHeight="1" spans="2:10">
      <c r="B166" s="54">
        <v>139</v>
      </c>
      <c r="C166" s="55" t="s">
        <v>338</v>
      </c>
      <c r="D166" s="13">
        <v>4</v>
      </c>
      <c r="E166" s="56" t="s">
        <v>24</v>
      </c>
      <c r="F166" s="57" t="s">
        <v>23</v>
      </c>
      <c r="G166" s="58" t="s">
        <v>22</v>
      </c>
      <c r="H166" s="32"/>
      <c r="I166" s="37" t="s">
        <v>339</v>
      </c>
      <c r="J166" s="6" t="s">
        <v>287</v>
      </c>
    </row>
    <row r="167" ht="37.5" customHeight="1" spans="2:10">
      <c r="B167" s="54">
        <v>140</v>
      </c>
      <c r="C167" s="55" t="s">
        <v>340</v>
      </c>
      <c r="D167" s="13">
        <v>4</v>
      </c>
      <c r="E167" s="56" t="s">
        <v>24</v>
      </c>
      <c r="F167" s="57" t="s">
        <v>23</v>
      </c>
      <c r="G167" s="58" t="s">
        <v>22</v>
      </c>
      <c r="H167" s="32"/>
      <c r="I167" s="37" t="s">
        <v>341</v>
      </c>
      <c r="J167" s="6" t="s">
        <v>287</v>
      </c>
    </row>
    <row r="168" ht="7.5" customHeight="1" spans="2:10">
      <c r="B168" s="33"/>
      <c r="C168" s="33"/>
      <c r="D168" s="33"/>
      <c r="E168" s="33"/>
      <c r="F168" s="33"/>
      <c r="G168" s="33"/>
      <c r="H168" s="33"/>
      <c r="I168" s="33"/>
      <c r="J168" s="33"/>
    </row>
    <row r="169" ht="37.5" customHeight="1" spans="2:10">
      <c r="B169" s="54">
        <v>141</v>
      </c>
      <c r="C169" s="55" t="s">
        <v>342</v>
      </c>
      <c r="D169" s="13">
        <v>4</v>
      </c>
      <c r="E169" s="56" t="s">
        <v>24</v>
      </c>
      <c r="F169" s="57" t="s">
        <v>23</v>
      </c>
      <c r="G169" s="58" t="s">
        <v>22</v>
      </c>
      <c r="H169" s="32"/>
      <c r="I169" s="37" t="s">
        <v>343</v>
      </c>
      <c r="J169" s="6" t="s">
        <v>287</v>
      </c>
    </row>
    <row r="170" ht="37.5" customHeight="1" spans="2:10">
      <c r="B170" s="54">
        <v>142</v>
      </c>
      <c r="C170" s="55" t="s">
        <v>344</v>
      </c>
      <c r="D170" s="13">
        <v>4</v>
      </c>
      <c r="E170" s="56" t="s">
        <v>24</v>
      </c>
      <c r="F170" s="57" t="s">
        <v>23</v>
      </c>
      <c r="G170" s="58" t="s">
        <v>22</v>
      </c>
      <c r="H170" s="32"/>
      <c r="I170" s="37" t="s">
        <v>345</v>
      </c>
      <c r="J170" s="6" t="s">
        <v>287</v>
      </c>
    </row>
    <row r="171" ht="37.5" customHeight="1" spans="2:10">
      <c r="B171" s="54">
        <v>143</v>
      </c>
      <c r="C171" s="55" t="s">
        <v>346</v>
      </c>
      <c r="D171" s="13">
        <v>4</v>
      </c>
      <c r="E171" s="56" t="s">
        <v>24</v>
      </c>
      <c r="F171" s="57" t="s">
        <v>23</v>
      </c>
      <c r="G171" s="58" t="s">
        <v>22</v>
      </c>
      <c r="H171" s="32"/>
      <c r="I171" s="37" t="s">
        <v>347</v>
      </c>
      <c r="J171" s="6" t="s">
        <v>287</v>
      </c>
    </row>
    <row r="172" ht="37.5" customHeight="1" spans="2:10">
      <c r="B172" s="54">
        <v>144</v>
      </c>
      <c r="C172" s="55" t="s">
        <v>348</v>
      </c>
      <c r="D172" s="13">
        <v>4</v>
      </c>
      <c r="E172" s="56" t="s">
        <v>24</v>
      </c>
      <c r="F172" s="57" t="s">
        <v>23</v>
      </c>
      <c r="G172" s="58" t="s">
        <v>22</v>
      </c>
      <c r="H172" s="32"/>
      <c r="I172" s="37" t="s">
        <v>349</v>
      </c>
      <c r="J172" s="6" t="s">
        <v>287</v>
      </c>
    </row>
    <row r="173" ht="37.5" customHeight="1" spans="2:10">
      <c r="B173" s="54">
        <v>145</v>
      </c>
      <c r="C173" s="55" t="s">
        <v>350</v>
      </c>
      <c r="D173" s="13">
        <v>4</v>
      </c>
      <c r="E173" s="56" t="s">
        <v>24</v>
      </c>
      <c r="F173" s="57" t="s">
        <v>23</v>
      </c>
      <c r="G173" s="58" t="s">
        <v>22</v>
      </c>
      <c r="H173" s="32"/>
      <c r="I173" s="37" t="s">
        <v>351</v>
      </c>
      <c r="J173" s="6" t="s">
        <v>287</v>
      </c>
    </row>
    <row r="174" ht="37.5" customHeight="1" spans="2:10">
      <c r="B174" s="54">
        <v>146</v>
      </c>
      <c r="C174" s="55" t="s">
        <v>352</v>
      </c>
      <c r="D174" s="13">
        <v>4</v>
      </c>
      <c r="E174" s="56" t="s">
        <v>24</v>
      </c>
      <c r="F174" s="57" t="s">
        <v>23</v>
      </c>
      <c r="G174" s="58" t="s">
        <v>22</v>
      </c>
      <c r="H174" s="32"/>
      <c r="I174" s="37" t="s">
        <v>353</v>
      </c>
      <c r="J174" s="6" t="s">
        <v>287</v>
      </c>
    </row>
    <row r="175" ht="37.5" customHeight="1" spans="2:10">
      <c r="B175" s="54">
        <v>147</v>
      </c>
      <c r="C175" s="55" t="s">
        <v>354</v>
      </c>
      <c r="D175" s="13">
        <v>4</v>
      </c>
      <c r="E175" s="56" t="s">
        <v>24</v>
      </c>
      <c r="F175" s="57" t="s">
        <v>23</v>
      </c>
      <c r="G175" s="58" t="s">
        <v>22</v>
      </c>
      <c r="H175" s="32"/>
      <c r="I175" s="37" t="s">
        <v>355</v>
      </c>
      <c r="J175" s="6" t="s">
        <v>287</v>
      </c>
    </row>
    <row r="176" ht="7.5" customHeight="1" spans="2:10">
      <c r="B176" s="33"/>
      <c r="C176" s="33"/>
      <c r="D176" s="33"/>
      <c r="E176" s="33"/>
      <c r="F176" s="33"/>
      <c r="G176" s="33"/>
      <c r="H176" s="33"/>
      <c r="I176" s="33"/>
      <c r="J176" s="33"/>
    </row>
    <row r="177" ht="37.5" customHeight="1" spans="2:10">
      <c r="B177" s="54">
        <v>148</v>
      </c>
      <c r="C177" s="55" t="s">
        <v>356</v>
      </c>
      <c r="D177" s="13">
        <v>4</v>
      </c>
      <c r="E177" s="56" t="s">
        <v>24</v>
      </c>
      <c r="F177" s="57" t="s">
        <v>23</v>
      </c>
      <c r="G177" s="58" t="s">
        <v>22</v>
      </c>
      <c r="H177" s="32"/>
      <c r="I177" s="37" t="s">
        <v>357</v>
      </c>
      <c r="J177" s="6" t="s">
        <v>287</v>
      </c>
    </row>
    <row r="178" ht="37.5" customHeight="1" spans="2:10">
      <c r="B178" s="54">
        <v>149</v>
      </c>
      <c r="C178" s="55" t="s">
        <v>358</v>
      </c>
      <c r="D178" s="13">
        <v>4</v>
      </c>
      <c r="E178" s="56" t="s">
        <v>24</v>
      </c>
      <c r="F178" s="57" t="s">
        <v>23</v>
      </c>
      <c r="G178" s="58" t="s">
        <v>22</v>
      </c>
      <c r="H178" s="32"/>
      <c r="I178" s="37" t="s">
        <v>359</v>
      </c>
      <c r="J178" s="6" t="s">
        <v>287</v>
      </c>
    </row>
    <row r="179" ht="37.5" customHeight="1" spans="2:10">
      <c r="B179" s="54">
        <v>150</v>
      </c>
      <c r="C179" s="55" t="s">
        <v>360</v>
      </c>
      <c r="D179" s="13">
        <v>4</v>
      </c>
      <c r="E179" s="56" t="s">
        <v>24</v>
      </c>
      <c r="F179" s="57" t="s">
        <v>23</v>
      </c>
      <c r="G179" s="58" t="s">
        <v>22</v>
      </c>
      <c r="H179" s="32"/>
      <c r="I179" s="37" t="s">
        <v>361</v>
      </c>
      <c r="J179" s="6" t="s">
        <v>287</v>
      </c>
    </row>
    <row r="180" ht="37.5" customHeight="1" spans="2:10">
      <c r="B180" s="54">
        <v>151</v>
      </c>
      <c r="C180" s="55" t="s">
        <v>362</v>
      </c>
      <c r="D180" s="13">
        <v>4</v>
      </c>
      <c r="E180" s="56" t="s">
        <v>24</v>
      </c>
      <c r="F180" s="57" t="s">
        <v>23</v>
      </c>
      <c r="G180" s="58" t="s">
        <v>22</v>
      </c>
      <c r="H180" s="32"/>
      <c r="I180" s="37" t="s">
        <v>363</v>
      </c>
      <c r="J180" s="6" t="s">
        <v>287</v>
      </c>
    </row>
    <row r="181" ht="37.5" customHeight="1" spans="2:10">
      <c r="B181" s="54">
        <v>152</v>
      </c>
      <c r="C181" s="55" t="s">
        <v>364</v>
      </c>
      <c r="D181" s="13">
        <v>4</v>
      </c>
      <c r="E181" s="56" t="s">
        <v>24</v>
      </c>
      <c r="F181" s="57" t="s">
        <v>23</v>
      </c>
      <c r="G181" s="58" t="s">
        <v>22</v>
      </c>
      <c r="H181" s="32"/>
      <c r="I181" s="37" t="s">
        <v>365</v>
      </c>
      <c r="J181" s="6" t="s">
        <v>287</v>
      </c>
    </row>
    <row r="182" ht="37.5" customHeight="1" spans="2:10">
      <c r="B182" s="54">
        <v>153</v>
      </c>
      <c r="C182" s="55" t="s">
        <v>366</v>
      </c>
      <c r="D182" s="13">
        <v>4</v>
      </c>
      <c r="E182" s="56" t="s">
        <v>24</v>
      </c>
      <c r="F182" s="57" t="s">
        <v>23</v>
      </c>
      <c r="G182" s="58" t="s">
        <v>22</v>
      </c>
      <c r="H182" s="32"/>
      <c r="I182" s="37" t="s">
        <v>367</v>
      </c>
      <c r="J182" s="6" t="s">
        <v>287</v>
      </c>
    </row>
    <row r="183" ht="37.5" customHeight="1" spans="2:10">
      <c r="B183" s="54">
        <v>154</v>
      </c>
      <c r="C183" s="55" t="s">
        <v>368</v>
      </c>
      <c r="D183" s="13">
        <v>4</v>
      </c>
      <c r="E183" s="56" t="s">
        <v>24</v>
      </c>
      <c r="F183" s="57" t="s">
        <v>23</v>
      </c>
      <c r="G183" s="58" t="s">
        <v>22</v>
      </c>
      <c r="H183" s="32"/>
      <c r="I183" s="37" t="s">
        <v>369</v>
      </c>
      <c r="J183" s="6" t="s">
        <v>287</v>
      </c>
    </row>
    <row r="184" ht="7.5" customHeight="1" spans="2:10">
      <c r="B184" s="33"/>
      <c r="C184" s="33"/>
      <c r="D184" s="33"/>
      <c r="E184" s="33"/>
      <c r="F184" s="33"/>
      <c r="G184" s="33"/>
      <c r="H184" s="33"/>
      <c r="I184" s="33"/>
      <c r="J184" s="33"/>
    </row>
    <row r="185" ht="37.5" customHeight="1" spans="2:10">
      <c r="B185" s="54">
        <v>155</v>
      </c>
      <c r="C185" s="55" t="s">
        <v>370</v>
      </c>
      <c r="D185" s="13">
        <v>4</v>
      </c>
      <c r="E185" s="56" t="s">
        <v>24</v>
      </c>
      <c r="F185" s="57" t="s">
        <v>23</v>
      </c>
      <c r="G185" s="58" t="s">
        <v>22</v>
      </c>
      <c r="H185" s="32"/>
      <c r="I185" s="37" t="s">
        <v>371</v>
      </c>
      <c r="J185" s="6" t="s">
        <v>287</v>
      </c>
    </row>
    <row r="186" ht="37.5" customHeight="1" spans="2:10">
      <c r="B186" s="54">
        <v>156</v>
      </c>
      <c r="C186" s="55" t="s">
        <v>372</v>
      </c>
      <c r="D186" s="13">
        <v>4</v>
      </c>
      <c r="E186" s="56" t="s">
        <v>24</v>
      </c>
      <c r="F186" s="57" t="s">
        <v>23</v>
      </c>
      <c r="G186" s="58" t="s">
        <v>22</v>
      </c>
      <c r="H186" s="32"/>
      <c r="I186" s="37" t="s">
        <v>373</v>
      </c>
      <c r="J186" s="6" t="s">
        <v>287</v>
      </c>
    </row>
    <row r="187" ht="37.5" customHeight="1" spans="2:10">
      <c r="B187" s="54">
        <v>157</v>
      </c>
      <c r="C187" s="55" t="s">
        <v>374</v>
      </c>
      <c r="D187" s="13">
        <v>4</v>
      </c>
      <c r="E187" s="56" t="s">
        <v>24</v>
      </c>
      <c r="F187" s="57" t="s">
        <v>23</v>
      </c>
      <c r="G187" s="58" t="s">
        <v>22</v>
      </c>
      <c r="H187" s="32"/>
      <c r="I187" s="37" t="s">
        <v>375</v>
      </c>
      <c r="J187" s="6" t="s">
        <v>287</v>
      </c>
    </row>
    <row r="188" ht="37.5" customHeight="1" spans="2:10">
      <c r="B188" s="54">
        <v>158</v>
      </c>
      <c r="C188" s="55" t="s">
        <v>376</v>
      </c>
      <c r="D188" s="13">
        <v>4</v>
      </c>
      <c r="E188" s="56" t="s">
        <v>24</v>
      </c>
      <c r="F188" s="57" t="s">
        <v>23</v>
      </c>
      <c r="G188" s="58" t="s">
        <v>22</v>
      </c>
      <c r="H188" s="32"/>
      <c r="I188" s="37" t="s">
        <v>377</v>
      </c>
      <c r="J188" s="6" t="s">
        <v>287</v>
      </c>
    </row>
    <row r="189" ht="37.5" customHeight="1" spans="2:10">
      <c r="B189" s="54">
        <v>159</v>
      </c>
      <c r="C189" s="55" t="s">
        <v>378</v>
      </c>
      <c r="D189" s="13">
        <v>4</v>
      </c>
      <c r="E189" s="56" t="s">
        <v>24</v>
      </c>
      <c r="F189" s="57" t="s">
        <v>23</v>
      </c>
      <c r="G189" s="58" t="s">
        <v>22</v>
      </c>
      <c r="H189" s="32"/>
      <c r="I189" s="37" t="s">
        <v>379</v>
      </c>
      <c r="J189" s="6" t="s">
        <v>287</v>
      </c>
    </row>
    <row r="190" ht="37.5" customHeight="1" spans="2:10">
      <c r="B190" s="54">
        <v>160</v>
      </c>
      <c r="C190" s="55" t="s">
        <v>380</v>
      </c>
      <c r="D190" s="13">
        <v>4</v>
      </c>
      <c r="E190" s="56" t="s">
        <v>24</v>
      </c>
      <c r="F190" s="57" t="s">
        <v>23</v>
      </c>
      <c r="G190" s="58" t="s">
        <v>22</v>
      </c>
      <c r="H190" s="32"/>
      <c r="I190" s="37" t="s">
        <v>381</v>
      </c>
      <c r="J190" s="6" t="s">
        <v>287</v>
      </c>
    </row>
    <row r="191" ht="37.5" customHeight="1" spans="2:10">
      <c r="B191" s="54">
        <v>161</v>
      </c>
      <c r="C191" s="55" t="s">
        <v>382</v>
      </c>
      <c r="D191" s="13">
        <v>4</v>
      </c>
      <c r="E191" s="56" t="s">
        <v>24</v>
      </c>
      <c r="F191" s="57" t="s">
        <v>23</v>
      </c>
      <c r="G191" s="58" t="s">
        <v>22</v>
      </c>
      <c r="H191" s="32"/>
      <c r="I191" s="37" t="s">
        <v>383</v>
      </c>
      <c r="J191" s="6" t="s">
        <v>287</v>
      </c>
    </row>
    <row r="192" ht="7.5" customHeight="1" spans="2:10">
      <c r="B192" s="33"/>
      <c r="C192" s="33"/>
      <c r="D192" s="33"/>
      <c r="E192" s="33"/>
      <c r="F192" s="33"/>
      <c r="G192" s="33"/>
      <c r="H192" s="33"/>
      <c r="I192" s="33"/>
      <c r="J192" s="33"/>
    </row>
    <row r="193" ht="37.5" customHeight="1" spans="2:10">
      <c r="B193" s="54">
        <v>162</v>
      </c>
      <c r="C193" s="55" t="s">
        <v>384</v>
      </c>
      <c r="D193" s="13">
        <v>4</v>
      </c>
      <c r="E193" s="56" t="s">
        <v>24</v>
      </c>
      <c r="F193" s="57" t="s">
        <v>23</v>
      </c>
      <c r="G193" s="58" t="s">
        <v>22</v>
      </c>
      <c r="H193" s="32"/>
      <c r="I193" s="37" t="s">
        <v>385</v>
      </c>
      <c r="J193" s="6" t="s">
        <v>287</v>
      </c>
    </row>
    <row r="194" ht="37.5" customHeight="1" spans="2:10">
      <c r="B194" s="54">
        <v>163</v>
      </c>
      <c r="C194" s="55" t="s">
        <v>386</v>
      </c>
      <c r="D194" s="13">
        <v>4</v>
      </c>
      <c r="E194" s="56" t="s">
        <v>24</v>
      </c>
      <c r="F194" s="57" t="s">
        <v>23</v>
      </c>
      <c r="G194" s="58" t="s">
        <v>22</v>
      </c>
      <c r="H194" s="32"/>
      <c r="I194" s="37" t="s">
        <v>387</v>
      </c>
      <c r="J194" s="6" t="s">
        <v>287</v>
      </c>
    </row>
    <row r="195" ht="37.5" customHeight="1" spans="2:10">
      <c r="B195" s="54">
        <v>164</v>
      </c>
      <c r="C195" s="55" t="s">
        <v>388</v>
      </c>
      <c r="D195" s="13">
        <v>4</v>
      </c>
      <c r="E195" s="56" t="s">
        <v>24</v>
      </c>
      <c r="F195" s="57" t="s">
        <v>23</v>
      </c>
      <c r="G195" s="58" t="s">
        <v>22</v>
      </c>
      <c r="H195" s="32"/>
      <c r="I195" s="37" t="s">
        <v>389</v>
      </c>
      <c r="J195" s="6" t="s">
        <v>287</v>
      </c>
    </row>
    <row r="196" ht="37.5" customHeight="1" spans="2:10">
      <c r="B196" s="54">
        <v>165</v>
      </c>
      <c r="C196" s="55" t="s">
        <v>390</v>
      </c>
      <c r="D196" s="13">
        <v>4</v>
      </c>
      <c r="E196" s="56" t="s">
        <v>24</v>
      </c>
      <c r="F196" s="57" t="s">
        <v>23</v>
      </c>
      <c r="G196" s="58" t="s">
        <v>22</v>
      </c>
      <c r="H196" s="32"/>
      <c r="I196" s="37" t="s">
        <v>391</v>
      </c>
      <c r="J196" s="6" t="s">
        <v>287</v>
      </c>
    </row>
    <row r="197" ht="37.5" customHeight="1" spans="2:10">
      <c r="B197" s="54">
        <v>166</v>
      </c>
      <c r="C197" s="55" t="s">
        <v>392</v>
      </c>
      <c r="D197" s="13">
        <v>4</v>
      </c>
      <c r="E197" s="56" t="s">
        <v>24</v>
      </c>
      <c r="F197" s="57" t="s">
        <v>23</v>
      </c>
      <c r="G197" s="58" t="s">
        <v>22</v>
      </c>
      <c r="H197" s="32"/>
      <c r="I197" s="37" t="s">
        <v>393</v>
      </c>
      <c r="J197" s="6" t="s">
        <v>287</v>
      </c>
    </row>
    <row r="198" ht="37.5" customHeight="1" spans="2:10">
      <c r="B198" s="54">
        <v>167</v>
      </c>
      <c r="C198" s="55" t="s">
        <v>394</v>
      </c>
      <c r="D198" s="13">
        <v>4</v>
      </c>
      <c r="E198" s="56" t="s">
        <v>24</v>
      </c>
      <c r="F198" s="57" t="s">
        <v>23</v>
      </c>
      <c r="G198" s="58" t="s">
        <v>22</v>
      </c>
      <c r="H198" s="32"/>
      <c r="I198" s="37" t="s">
        <v>395</v>
      </c>
      <c r="J198" s="6" t="s">
        <v>287</v>
      </c>
    </row>
    <row r="199" ht="37.5" customHeight="1" spans="2:10">
      <c r="B199" s="54">
        <v>168</v>
      </c>
      <c r="C199" s="55" t="s">
        <v>396</v>
      </c>
      <c r="D199" s="13">
        <v>4</v>
      </c>
      <c r="E199" s="56" t="s">
        <v>24</v>
      </c>
      <c r="F199" s="57" t="s">
        <v>23</v>
      </c>
      <c r="G199" s="58" t="s">
        <v>22</v>
      </c>
      <c r="H199" s="32"/>
      <c r="I199" s="37" t="s">
        <v>397</v>
      </c>
      <c r="J199" s="6" t="s">
        <v>287</v>
      </c>
    </row>
    <row r="200" ht="7.5" customHeight="1" spans="2:10">
      <c r="B200" s="33"/>
      <c r="C200" s="33"/>
      <c r="D200" s="33"/>
      <c r="E200" s="33"/>
      <c r="F200" s="33"/>
      <c r="G200" s="33"/>
      <c r="H200" s="33"/>
      <c r="I200" s="33"/>
      <c r="J200" s="33"/>
    </row>
    <row r="201" ht="13.5" customHeight="1" spans="2:10">
      <c r="B201" s="59" t="s">
        <v>398</v>
      </c>
      <c r="C201" s="59"/>
      <c r="D201" s="59"/>
      <c r="E201" s="59"/>
      <c r="F201" s="59"/>
      <c r="G201" s="59"/>
      <c r="H201" s="59"/>
      <c r="I201" s="59"/>
      <c r="J201" s="59"/>
    </row>
    <row r="202" ht="9.75" customHeight="1" spans="2:10">
      <c r="B202" s="41"/>
      <c r="C202" s="41"/>
      <c r="D202" s="41"/>
      <c r="E202" s="41"/>
      <c r="F202" s="41"/>
      <c r="G202" s="41"/>
      <c r="H202" s="41"/>
      <c r="I202" s="41"/>
      <c r="J202" s="41"/>
    </row>
    <row r="203" ht="37.5" customHeight="1" spans="2:10">
      <c r="B203" s="60">
        <v>169</v>
      </c>
      <c r="C203" s="61" t="s">
        <v>399</v>
      </c>
      <c r="D203" s="15">
        <v>5</v>
      </c>
      <c r="E203" s="62" t="s">
        <v>27</v>
      </c>
      <c r="F203" s="63" t="s">
        <v>26</v>
      </c>
      <c r="G203" s="64" t="s">
        <v>25</v>
      </c>
      <c r="H203" s="32"/>
      <c r="I203" s="37" t="s">
        <v>400</v>
      </c>
      <c r="J203" s="6" t="s">
        <v>401</v>
      </c>
    </row>
    <row r="204" ht="37.5" customHeight="1" spans="2:10">
      <c r="B204" s="60">
        <v>170</v>
      </c>
      <c r="C204" s="61" t="s">
        <v>402</v>
      </c>
      <c r="D204" s="15">
        <v>5</v>
      </c>
      <c r="E204" s="62" t="s">
        <v>27</v>
      </c>
      <c r="F204" s="63" t="s">
        <v>26</v>
      </c>
      <c r="G204" s="64" t="s">
        <v>25</v>
      </c>
      <c r="H204" s="32"/>
      <c r="I204" s="37" t="s">
        <v>403</v>
      </c>
      <c r="J204" s="6" t="s">
        <v>401</v>
      </c>
    </row>
    <row r="205" ht="37.5" customHeight="1" spans="2:10">
      <c r="B205" s="60">
        <v>171</v>
      </c>
      <c r="C205" s="61" t="s">
        <v>404</v>
      </c>
      <c r="D205" s="15">
        <v>5</v>
      </c>
      <c r="E205" s="62" t="s">
        <v>27</v>
      </c>
      <c r="F205" s="63" t="s">
        <v>26</v>
      </c>
      <c r="G205" s="64" t="s">
        <v>25</v>
      </c>
      <c r="H205" s="32"/>
      <c r="I205" s="37" t="s">
        <v>405</v>
      </c>
      <c r="J205" s="6" t="s">
        <v>401</v>
      </c>
    </row>
    <row r="206" ht="37.5" customHeight="1" spans="2:10">
      <c r="B206" s="60">
        <v>172</v>
      </c>
      <c r="C206" s="61" t="s">
        <v>406</v>
      </c>
      <c r="D206" s="15">
        <v>5</v>
      </c>
      <c r="E206" s="62" t="s">
        <v>27</v>
      </c>
      <c r="F206" s="63" t="s">
        <v>26</v>
      </c>
      <c r="G206" s="64" t="s">
        <v>25</v>
      </c>
      <c r="H206" s="32"/>
      <c r="I206" s="37" t="s">
        <v>407</v>
      </c>
      <c r="J206" s="6" t="s">
        <v>401</v>
      </c>
    </row>
    <row r="207" ht="37.5" customHeight="1" spans="2:10">
      <c r="B207" s="60">
        <v>173</v>
      </c>
      <c r="C207" s="61" t="s">
        <v>408</v>
      </c>
      <c r="D207" s="15">
        <v>5</v>
      </c>
      <c r="E207" s="62" t="s">
        <v>27</v>
      </c>
      <c r="F207" s="63" t="s">
        <v>26</v>
      </c>
      <c r="G207" s="64" t="s">
        <v>25</v>
      </c>
      <c r="H207" s="32"/>
      <c r="I207" s="37" t="s">
        <v>409</v>
      </c>
      <c r="J207" s="6" t="s">
        <v>401</v>
      </c>
    </row>
    <row r="208" ht="37.5" customHeight="1" spans="2:10">
      <c r="B208" s="60">
        <v>174</v>
      </c>
      <c r="C208" s="61" t="s">
        <v>410</v>
      </c>
      <c r="D208" s="15">
        <v>5</v>
      </c>
      <c r="E208" s="62" t="s">
        <v>27</v>
      </c>
      <c r="F208" s="63" t="s">
        <v>26</v>
      </c>
      <c r="G208" s="64" t="s">
        <v>25</v>
      </c>
      <c r="H208" s="32"/>
      <c r="I208" s="37" t="s">
        <v>411</v>
      </c>
      <c r="J208" s="6" t="s">
        <v>401</v>
      </c>
    </row>
    <row r="209" ht="37.5" customHeight="1" spans="2:10">
      <c r="B209" s="60">
        <v>175</v>
      </c>
      <c r="C209" s="61" t="s">
        <v>412</v>
      </c>
      <c r="D209" s="15">
        <v>5</v>
      </c>
      <c r="E209" s="62" t="s">
        <v>27</v>
      </c>
      <c r="F209" s="63" t="s">
        <v>26</v>
      </c>
      <c r="G209" s="64" t="s">
        <v>25</v>
      </c>
      <c r="H209" s="32"/>
      <c r="I209" s="37" t="s">
        <v>413</v>
      </c>
      <c r="J209" s="6" t="s">
        <v>401</v>
      </c>
    </row>
    <row r="210" ht="7.5" customHeight="1" spans="2:10">
      <c r="B210" s="33"/>
      <c r="C210" s="33"/>
      <c r="D210" s="33"/>
      <c r="E210" s="33"/>
      <c r="F210" s="33"/>
      <c r="G210" s="33"/>
      <c r="H210" s="33"/>
      <c r="I210" s="33"/>
      <c r="J210" s="33"/>
    </row>
    <row r="211" ht="37.5" customHeight="1" spans="2:10">
      <c r="B211" s="60">
        <v>176</v>
      </c>
      <c r="C211" s="61" t="s">
        <v>414</v>
      </c>
      <c r="D211" s="15">
        <v>5</v>
      </c>
      <c r="E211" s="62" t="s">
        <v>27</v>
      </c>
      <c r="F211" s="63" t="s">
        <v>26</v>
      </c>
      <c r="G211" s="64" t="s">
        <v>25</v>
      </c>
      <c r="H211" s="32"/>
      <c r="I211" s="37" t="s">
        <v>415</v>
      </c>
      <c r="J211" s="6" t="s">
        <v>401</v>
      </c>
    </row>
    <row r="212" ht="37.5" customHeight="1" spans="2:10">
      <c r="B212" s="60">
        <v>177</v>
      </c>
      <c r="C212" s="61" t="s">
        <v>416</v>
      </c>
      <c r="D212" s="15">
        <v>5</v>
      </c>
      <c r="E212" s="62" t="s">
        <v>27</v>
      </c>
      <c r="F212" s="63" t="s">
        <v>26</v>
      </c>
      <c r="G212" s="64" t="s">
        <v>25</v>
      </c>
      <c r="H212" s="32"/>
      <c r="I212" s="37" t="s">
        <v>417</v>
      </c>
      <c r="J212" s="6" t="s">
        <v>401</v>
      </c>
    </row>
    <row r="213" ht="37.5" customHeight="1" spans="2:10">
      <c r="B213" s="60">
        <v>178</v>
      </c>
      <c r="C213" s="61" t="s">
        <v>418</v>
      </c>
      <c r="D213" s="15">
        <v>5</v>
      </c>
      <c r="E213" s="62" t="s">
        <v>27</v>
      </c>
      <c r="F213" s="63" t="s">
        <v>26</v>
      </c>
      <c r="G213" s="64" t="s">
        <v>25</v>
      </c>
      <c r="H213" s="32"/>
      <c r="I213" s="37" t="s">
        <v>419</v>
      </c>
      <c r="J213" s="6" t="s">
        <v>401</v>
      </c>
    </row>
    <row r="214" ht="37.5" customHeight="1" spans="2:10">
      <c r="B214" s="60">
        <v>179</v>
      </c>
      <c r="C214" s="61" t="s">
        <v>420</v>
      </c>
      <c r="D214" s="15">
        <v>5</v>
      </c>
      <c r="E214" s="62" t="s">
        <v>27</v>
      </c>
      <c r="F214" s="63" t="s">
        <v>26</v>
      </c>
      <c r="G214" s="64" t="s">
        <v>25</v>
      </c>
      <c r="H214" s="32"/>
      <c r="I214" s="37" t="s">
        <v>421</v>
      </c>
      <c r="J214" s="6" t="s">
        <v>401</v>
      </c>
    </row>
    <row r="215" ht="37.5" customHeight="1" spans="2:10">
      <c r="B215" s="60">
        <v>180</v>
      </c>
      <c r="C215" s="61" t="s">
        <v>422</v>
      </c>
      <c r="D215" s="15">
        <v>5</v>
      </c>
      <c r="E215" s="62" t="s">
        <v>27</v>
      </c>
      <c r="F215" s="63" t="s">
        <v>26</v>
      </c>
      <c r="G215" s="64" t="s">
        <v>25</v>
      </c>
      <c r="H215" s="32"/>
      <c r="I215" s="37" t="s">
        <v>423</v>
      </c>
      <c r="J215" s="6" t="s">
        <v>401</v>
      </c>
    </row>
    <row r="216" ht="37.5" customHeight="1" spans="2:10">
      <c r="B216" s="60">
        <v>181</v>
      </c>
      <c r="C216" s="61" t="s">
        <v>424</v>
      </c>
      <c r="D216" s="15">
        <v>5</v>
      </c>
      <c r="E216" s="62" t="s">
        <v>27</v>
      </c>
      <c r="F216" s="63" t="s">
        <v>26</v>
      </c>
      <c r="G216" s="64" t="s">
        <v>25</v>
      </c>
      <c r="H216" s="32"/>
      <c r="I216" s="37" t="s">
        <v>425</v>
      </c>
      <c r="J216" s="6" t="s">
        <v>401</v>
      </c>
    </row>
    <row r="217" ht="37.5" customHeight="1" spans="2:10">
      <c r="B217" s="60">
        <v>182</v>
      </c>
      <c r="C217" s="61" t="s">
        <v>426</v>
      </c>
      <c r="D217" s="15">
        <v>5</v>
      </c>
      <c r="E217" s="62" t="s">
        <v>27</v>
      </c>
      <c r="F217" s="63" t="s">
        <v>26</v>
      </c>
      <c r="G217" s="64" t="s">
        <v>25</v>
      </c>
      <c r="H217" s="32"/>
      <c r="I217" s="37" t="s">
        <v>427</v>
      </c>
      <c r="J217" s="6" t="s">
        <v>401</v>
      </c>
    </row>
    <row r="218" ht="7.5" customHeight="1" spans="2:10">
      <c r="B218" s="33"/>
      <c r="C218" s="33"/>
      <c r="D218" s="33"/>
      <c r="E218" s="33"/>
      <c r="F218" s="33"/>
      <c r="G218" s="33"/>
      <c r="H218" s="33"/>
      <c r="I218" s="33"/>
      <c r="J218" s="33"/>
    </row>
    <row r="219" ht="37.5" customHeight="1" spans="2:10">
      <c r="B219" s="60">
        <v>183</v>
      </c>
      <c r="C219" s="61" t="s">
        <v>428</v>
      </c>
      <c r="D219" s="15">
        <v>5</v>
      </c>
      <c r="E219" s="62" t="s">
        <v>27</v>
      </c>
      <c r="F219" s="63" t="s">
        <v>26</v>
      </c>
      <c r="G219" s="64" t="s">
        <v>25</v>
      </c>
      <c r="H219" s="32"/>
      <c r="I219" s="37" t="s">
        <v>429</v>
      </c>
      <c r="J219" s="6" t="s">
        <v>401</v>
      </c>
    </row>
    <row r="220" ht="37.5" customHeight="1" spans="2:10">
      <c r="B220" s="60">
        <v>184</v>
      </c>
      <c r="C220" s="61" t="s">
        <v>430</v>
      </c>
      <c r="D220" s="15">
        <v>5</v>
      </c>
      <c r="E220" s="62" t="s">
        <v>27</v>
      </c>
      <c r="F220" s="63" t="s">
        <v>26</v>
      </c>
      <c r="G220" s="64" t="s">
        <v>25</v>
      </c>
      <c r="H220" s="32"/>
      <c r="I220" s="37" t="s">
        <v>431</v>
      </c>
      <c r="J220" s="6" t="s">
        <v>401</v>
      </c>
    </row>
    <row r="221" ht="37.5" customHeight="1" spans="2:10">
      <c r="B221" s="60">
        <v>185</v>
      </c>
      <c r="C221" s="61" t="s">
        <v>432</v>
      </c>
      <c r="D221" s="15">
        <v>5</v>
      </c>
      <c r="E221" s="62" t="s">
        <v>27</v>
      </c>
      <c r="F221" s="63" t="s">
        <v>26</v>
      </c>
      <c r="G221" s="64" t="s">
        <v>25</v>
      </c>
      <c r="H221" s="32"/>
      <c r="I221" s="37" t="s">
        <v>433</v>
      </c>
      <c r="J221" s="6" t="s">
        <v>401</v>
      </c>
    </row>
    <row r="222" ht="37.5" customHeight="1" spans="2:10">
      <c r="B222" s="60">
        <v>186</v>
      </c>
      <c r="C222" s="61" t="s">
        <v>434</v>
      </c>
      <c r="D222" s="15">
        <v>5</v>
      </c>
      <c r="E222" s="62" t="s">
        <v>27</v>
      </c>
      <c r="F222" s="63" t="s">
        <v>26</v>
      </c>
      <c r="G222" s="64" t="s">
        <v>25</v>
      </c>
      <c r="H222" s="32"/>
      <c r="I222" s="37" t="s">
        <v>435</v>
      </c>
      <c r="J222" s="6" t="s">
        <v>401</v>
      </c>
    </row>
    <row r="223" ht="37.5" customHeight="1" spans="2:10">
      <c r="B223" s="60">
        <v>187</v>
      </c>
      <c r="C223" s="61" t="s">
        <v>436</v>
      </c>
      <c r="D223" s="15">
        <v>5</v>
      </c>
      <c r="E223" s="62" t="s">
        <v>27</v>
      </c>
      <c r="F223" s="63" t="s">
        <v>26</v>
      </c>
      <c r="G223" s="64" t="s">
        <v>25</v>
      </c>
      <c r="H223" s="32"/>
      <c r="I223" s="37" t="s">
        <v>437</v>
      </c>
      <c r="J223" s="6" t="s">
        <v>401</v>
      </c>
    </row>
    <row r="224" ht="37.5" customHeight="1" spans="2:10">
      <c r="B224" s="60">
        <v>188</v>
      </c>
      <c r="C224" s="61" t="s">
        <v>438</v>
      </c>
      <c r="D224" s="15">
        <v>5</v>
      </c>
      <c r="E224" s="62" t="s">
        <v>27</v>
      </c>
      <c r="F224" s="63" t="s">
        <v>26</v>
      </c>
      <c r="G224" s="64" t="s">
        <v>25</v>
      </c>
      <c r="H224" s="32"/>
      <c r="I224" s="37" t="s">
        <v>439</v>
      </c>
      <c r="J224" s="6" t="s">
        <v>401</v>
      </c>
    </row>
    <row r="225" ht="37.5" customHeight="1" spans="2:10">
      <c r="B225" s="60">
        <v>189</v>
      </c>
      <c r="C225" s="61" t="s">
        <v>440</v>
      </c>
      <c r="D225" s="15">
        <v>5</v>
      </c>
      <c r="E225" s="62" t="s">
        <v>27</v>
      </c>
      <c r="F225" s="63" t="s">
        <v>26</v>
      </c>
      <c r="G225" s="64" t="s">
        <v>25</v>
      </c>
      <c r="H225" s="32"/>
      <c r="I225" s="37" t="s">
        <v>441</v>
      </c>
      <c r="J225" s="6" t="s">
        <v>401</v>
      </c>
    </row>
    <row r="226" ht="7.5" customHeight="1" spans="2:10">
      <c r="B226" s="33"/>
      <c r="C226" s="33"/>
      <c r="D226" s="33"/>
      <c r="E226" s="33"/>
      <c r="F226" s="33"/>
      <c r="G226" s="33"/>
      <c r="H226" s="33"/>
      <c r="I226" s="33"/>
      <c r="J226" s="33"/>
    </row>
    <row r="227" ht="37.5" customHeight="1" spans="2:10">
      <c r="B227" s="60">
        <v>190</v>
      </c>
      <c r="C227" s="61" t="s">
        <v>442</v>
      </c>
      <c r="D227" s="15">
        <v>5</v>
      </c>
      <c r="E227" s="62" t="s">
        <v>27</v>
      </c>
      <c r="F227" s="63" t="s">
        <v>26</v>
      </c>
      <c r="G227" s="64" t="s">
        <v>25</v>
      </c>
      <c r="H227" s="32"/>
      <c r="I227" s="37" t="s">
        <v>443</v>
      </c>
      <c r="J227" s="6" t="s">
        <v>401</v>
      </c>
    </row>
    <row r="228" ht="37.5" customHeight="1" spans="2:10">
      <c r="B228" s="60">
        <v>191</v>
      </c>
      <c r="C228" s="61" t="s">
        <v>444</v>
      </c>
      <c r="D228" s="15">
        <v>5</v>
      </c>
      <c r="E228" s="62" t="s">
        <v>27</v>
      </c>
      <c r="F228" s="63" t="s">
        <v>26</v>
      </c>
      <c r="G228" s="64" t="s">
        <v>25</v>
      </c>
      <c r="H228" s="32"/>
      <c r="I228" s="37" t="s">
        <v>445</v>
      </c>
      <c r="J228" s="6" t="s">
        <v>401</v>
      </c>
    </row>
    <row r="229" ht="37.5" customHeight="1" spans="2:10">
      <c r="B229" s="60">
        <v>192</v>
      </c>
      <c r="C229" s="61" t="s">
        <v>446</v>
      </c>
      <c r="D229" s="15">
        <v>5</v>
      </c>
      <c r="E229" s="62" t="s">
        <v>27</v>
      </c>
      <c r="F229" s="63" t="s">
        <v>26</v>
      </c>
      <c r="G229" s="64" t="s">
        <v>25</v>
      </c>
      <c r="H229" s="32"/>
      <c r="I229" s="37" t="s">
        <v>447</v>
      </c>
      <c r="J229" s="6" t="s">
        <v>401</v>
      </c>
    </row>
    <row r="230" ht="37.5" customHeight="1" spans="2:10">
      <c r="B230" s="60">
        <v>193</v>
      </c>
      <c r="C230" s="61" t="s">
        <v>448</v>
      </c>
      <c r="D230" s="15">
        <v>5</v>
      </c>
      <c r="E230" s="62" t="s">
        <v>27</v>
      </c>
      <c r="F230" s="63" t="s">
        <v>26</v>
      </c>
      <c r="G230" s="64" t="s">
        <v>25</v>
      </c>
      <c r="H230" s="32"/>
      <c r="I230" s="37" t="s">
        <v>449</v>
      </c>
      <c r="J230" s="6" t="s">
        <v>401</v>
      </c>
    </row>
    <row r="231" ht="37.5" customHeight="1" spans="2:10">
      <c r="B231" s="60">
        <v>194</v>
      </c>
      <c r="C231" s="61" t="s">
        <v>450</v>
      </c>
      <c r="D231" s="15">
        <v>5</v>
      </c>
      <c r="E231" s="62" t="s">
        <v>27</v>
      </c>
      <c r="F231" s="63" t="s">
        <v>26</v>
      </c>
      <c r="G231" s="64" t="s">
        <v>25</v>
      </c>
      <c r="H231" s="32"/>
      <c r="I231" s="37" t="s">
        <v>451</v>
      </c>
      <c r="J231" s="6" t="s">
        <v>401</v>
      </c>
    </row>
    <row r="232" ht="37.5" customHeight="1" spans="2:10">
      <c r="B232" s="60">
        <v>195</v>
      </c>
      <c r="C232" s="61" t="s">
        <v>452</v>
      </c>
      <c r="D232" s="15">
        <v>5</v>
      </c>
      <c r="E232" s="62" t="s">
        <v>27</v>
      </c>
      <c r="F232" s="63" t="s">
        <v>26</v>
      </c>
      <c r="G232" s="64" t="s">
        <v>25</v>
      </c>
      <c r="H232" s="32"/>
      <c r="I232" s="37" t="s">
        <v>453</v>
      </c>
      <c r="J232" s="6" t="s">
        <v>401</v>
      </c>
    </row>
    <row r="233" ht="37.5" customHeight="1" spans="2:10">
      <c r="B233" s="60">
        <v>196</v>
      </c>
      <c r="C233" s="61" t="s">
        <v>454</v>
      </c>
      <c r="D233" s="15">
        <v>5</v>
      </c>
      <c r="E233" s="62" t="s">
        <v>27</v>
      </c>
      <c r="F233" s="63" t="s">
        <v>26</v>
      </c>
      <c r="G233" s="64" t="s">
        <v>25</v>
      </c>
      <c r="H233" s="32"/>
      <c r="I233" s="37" t="s">
        <v>455</v>
      </c>
      <c r="J233" s="6" t="s">
        <v>401</v>
      </c>
    </row>
    <row r="234" ht="7.5" customHeight="1" spans="2:10">
      <c r="B234" s="33"/>
      <c r="C234" s="33"/>
      <c r="D234" s="33"/>
      <c r="E234" s="33"/>
      <c r="F234" s="33"/>
      <c r="G234" s="33"/>
      <c r="H234" s="33"/>
      <c r="I234" s="33"/>
      <c r="J234" s="33"/>
    </row>
    <row r="235" ht="37.5" customHeight="1" spans="2:10">
      <c r="B235" s="60">
        <v>197</v>
      </c>
      <c r="C235" s="61" t="s">
        <v>456</v>
      </c>
      <c r="D235" s="15">
        <v>5</v>
      </c>
      <c r="E235" s="62" t="s">
        <v>27</v>
      </c>
      <c r="F235" s="63" t="s">
        <v>26</v>
      </c>
      <c r="G235" s="64" t="s">
        <v>25</v>
      </c>
      <c r="H235" s="32"/>
      <c r="I235" s="37" t="s">
        <v>457</v>
      </c>
      <c r="J235" s="6" t="s">
        <v>401</v>
      </c>
    </row>
    <row r="236" ht="37.5" customHeight="1" spans="2:10">
      <c r="B236" s="60">
        <v>198</v>
      </c>
      <c r="C236" s="61" t="s">
        <v>458</v>
      </c>
      <c r="D236" s="15">
        <v>5</v>
      </c>
      <c r="E236" s="62" t="s">
        <v>27</v>
      </c>
      <c r="F236" s="63" t="s">
        <v>26</v>
      </c>
      <c r="G236" s="64" t="s">
        <v>25</v>
      </c>
      <c r="H236" s="32"/>
      <c r="I236" s="37" t="s">
        <v>459</v>
      </c>
      <c r="J236" s="6" t="s">
        <v>401</v>
      </c>
    </row>
    <row r="237" ht="37.5" customHeight="1" spans="2:10">
      <c r="B237" s="60">
        <v>199</v>
      </c>
      <c r="C237" s="61" t="s">
        <v>460</v>
      </c>
      <c r="D237" s="15">
        <v>5</v>
      </c>
      <c r="E237" s="62" t="s">
        <v>27</v>
      </c>
      <c r="F237" s="63" t="s">
        <v>26</v>
      </c>
      <c r="G237" s="64" t="s">
        <v>25</v>
      </c>
      <c r="H237" s="32"/>
      <c r="I237" s="37" t="s">
        <v>461</v>
      </c>
      <c r="J237" s="6" t="s">
        <v>401</v>
      </c>
    </row>
    <row r="238" ht="37.5" customHeight="1" spans="2:10">
      <c r="B238" s="60">
        <v>200</v>
      </c>
      <c r="C238" s="61" t="s">
        <v>462</v>
      </c>
      <c r="D238" s="15">
        <v>5</v>
      </c>
      <c r="E238" s="62" t="s">
        <v>27</v>
      </c>
      <c r="F238" s="63" t="s">
        <v>26</v>
      </c>
      <c r="G238" s="64" t="s">
        <v>25</v>
      </c>
      <c r="H238" s="32"/>
      <c r="I238" s="37" t="s">
        <v>463</v>
      </c>
      <c r="J238" s="6" t="s">
        <v>401</v>
      </c>
    </row>
    <row r="239" ht="37.5" customHeight="1" spans="2:10">
      <c r="B239" s="60">
        <v>201</v>
      </c>
      <c r="C239" s="61" t="s">
        <v>464</v>
      </c>
      <c r="D239" s="15">
        <v>5</v>
      </c>
      <c r="E239" s="62" t="s">
        <v>27</v>
      </c>
      <c r="F239" s="63" t="s">
        <v>26</v>
      </c>
      <c r="G239" s="64" t="s">
        <v>25</v>
      </c>
      <c r="H239" s="32"/>
      <c r="I239" s="37" t="s">
        <v>465</v>
      </c>
      <c r="J239" s="6" t="s">
        <v>401</v>
      </c>
    </row>
    <row r="240" ht="37.5" customHeight="1" spans="2:10">
      <c r="B240" s="60">
        <v>202</v>
      </c>
      <c r="C240" s="61" t="s">
        <v>466</v>
      </c>
      <c r="D240" s="15">
        <v>5</v>
      </c>
      <c r="E240" s="62" t="s">
        <v>27</v>
      </c>
      <c r="F240" s="63" t="s">
        <v>26</v>
      </c>
      <c r="G240" s="64" t="s">
        <v>25</v>
      </c>
      <c r="H240" s="32"/>
      <c r="I240" s="37" t="s">
        <v>467</v>
      </c>
      <c r="J240" s="6" t="s">
        <v>401</v>
      </c>
    </row>
    <row r="241" ht="37.5" customHeight="1" spans="2:10">
      <c r="B241" s="60">
        <v>203</v>
      </c>
      <c r="C241" s="61" t="s">
        <v>468</v>
      </c>
      <c r="D241" s="15">
        <v>5</v>
      </c>
      <c r="E241" s="62" t="s">
        <v>27</v>
      </c>
      <c r="F241" s="63" t="s">
        <v>26</v>
      </c>
      <c r="G241" s="64" t="s">
        <v>25</v>
      </c>
      <c r="H241" s="32"/>
      <c r="I241" s="37" t="s">
        <v>469</v>
      </c>
      <c r="J241" s="6" t="s">
        <v>401</v>
      </c>
    </row>
    <row r="242" ht="7.5" customHeight="1" spans="2:10">
      <c r="B242" s="33"/>
      <c r="C242" s="33"/>
      <c r="D242" s="33"/>
      <c r="E242" s="33"/>
      <c r="F242" s="33"/>
      <c r="G242" s="33"/>
      <c r="H242" s="33"/>
      <c r="I242" s="33"/>
      <c r="J242" s="33"/>
    </row>
    <row r="243" ht="37.5" customHeight="1" spans="2:10">
      <c r="B243" s="60">
        <v>204</v>
      </c>
      <c r="C243" s="61" t="s">
        <v>470</v>
      </c>
      <c r="D243" s="15">
        <v>5</v>
      </c>
      <c r="E243" s="62" t="s">
        <v>27</v>
      </c>
      <c r="F243" s="63" t="s">
        <v>26</v>
      </c>
      <c r="G243" s="64" t="s">
        <v>25</v>
      </c>
      <c r="H243" s="32"/>
      <c r="I243" s="37" t="s">
        <v>471</v>
      </c>
      <c r="J243" s="6" t="s">
        <v>401</v>
      </c>
    </row>
    <row r="244" ht="37.5" customHeight="1" spans="2:10">
      <c r="B244" s="60">
        <v>205</v>
      </c>
      <c r="C244" s="61" t="s">
        <v>472</v>
      </c>
      <c r="D244" s="15">
        <v>5</v>
      </c>
      <c r="E244" s="62" t="s">
        <v>27</v>
      </c>
      <c r="F244" s="63" t="s">
        <v>26</v>
      </c>
      <c r="G244" s="64" t="s">
        <v>25</v>
      </c>
      <c r="H244" s="32"/>
      <c r="I244" s="37" t="s">
        <v>473</v>
      </c>
      <c r="J244" s="6" t="s">
        <v>401</v>
      </c>
    </row>
    <row r="245" ht="37.5" customHeight="1" spans="2:10">
      <c r="B245" s="60">
        <v>206</v>
      </c>
      <c r="C245" s="61" t="s">
        <v>474</v>
      </c>
      <c r="D245" s="15">
        <v>5</v>
      </c>
      <c r="E245" s="62" t="s">
        <v>27</v>
      </c>
      <c r="F245" s="63" t="s">
        <v>26</v>
      </c>
      <c r="G245" s="64" t="s">
        <v>25</v>
      </c>
      <c r="H245" s="32"/>
      <c r="I245" s="37" t="s">
        <v>475</v>
      </c>
      <c r="J245" s="6" t="s">
        <v>401</v>
      </c>
    </row>
    <row r="246" ht="37.5" customHeight="1" spans="2:10">
      <c r="B246" s="60">
        <v>207</v>
      </c>
      <c r="C246" s="61" t="s">
        <v>476</v>
      </c>
      <c r="D246" s="15">
        <v>5</v>
      </c>
      <c r="E246" s="62" t="s">
        <v>27</v>
      </c>
      <c r="F246" s="63" t="s">
        <v>26</v>
      </c>
      <c r="G246" s="64" t="s">
        <v>25</v>
      </c>
      <c r="H246" s="32"/>
      <c r="I246" s="37" t="s">
        <v>477</v>
      </c>
      <c r="J246" s="6" t="s">
        <v>401</v>
      </c>
    </row>
    <row r="247" ht="37.5" customHeight="1" spans="2:10">
      <c r="B247" s="60">
        <v>208</v>
      </c>
      <c r="C247" s="61" t="s">
        <v>478</v>
      </c>
      <c r="D247" s="15">
        <v>5</v>
      </c>
      <c r="E247" s="62" t="s">
        <v>27</v>
      </c>
      <c r="F247" s="63" t="s">
        <v>26</v>
      </c>
      <c r="G247" s="64" t="s">
        <v>25</v>
      </c>
      <c r="H247" s="32"/>
      <c r="I247" s="37" t="s">
        <v>479</v>
      </c>
      <c r="J247" s="6" t="s">
        <v>401</v>
      </c>
    </row>
    <row r="248" ht="37.5" customHeight="1" spans="2:10">
      <c r="B248" s="60">
        <v>209</v>
      </c>
      <c r="C248" s="61" t="s">
        <v>480</v>
      </c>
      <c r="D248" s="15">
        <v>5</v>
      </c>
      <c r="E248" s="62" t="s">
        <v>27</v>
      </c>
      <c r="F248" s="63" t="s">
        <v>26</v>
      </c>
      <c r="G248" s="64" t="s">
        <v>25</v>
      </c>
      <c r="H248" s="32"/>
      <c r="I248" s="37" t="s">
        <v>481</v>
      </c>
      <c r="J248" s="6" t="s">
        <v>401</v>
      </c>
    </row>
    <row r="249" ht="37.5" customHeight="1" spans="2:10">
      <c r="B249" s="60">
        <v>210</v>
      </c>
      <c r="C249" s="61" t="s">
        <v>482</v>
      </c>
      <c r="D249" s="15">
        <v>5</v>
      </c>
      <c r="E249" s="62" t="s">
        <v>27</v>
      </c>
      <c r="F249" s="63" t="s">
        <v>26</v>
      </c>
      <c r="G249" s="64" t="s">
        <v>25</v>
      </c>
      <c r="H249" s="32"/>
      <c r="I249" s="37" t="s">
        <v>483</v>
      </c>
      <c r="J249" s="6" t="s">
        <v>401</v>
      </c>
    </row>
    <row r="250" ht="7.5" customHeight="1" spans="2:10">
      <c r="B250" s="33"/>
      <c r="C250" s="33"/>
      <c r="D250" s="33"/>
      <c r="E250" s="33"/>
      <c r="F250" s="33"/>
      <c r="G250" s="33"/>
      <c r="H250" s="33"/>
      <c r="I250" s="33"/>
      <c r="J250" s="33"/>
    </row>
    <row r="251" ht="37.5" customHeight="1" spans="2:10">
      <c r="B251" s="60">
        <v>211</v>
      </c>
      <c r="C251" s="61" t="s">
        <v>484</v>
      </c>
      <c r="D251" s="15">
        <v>5</v>
      </c>
      <c r="E251" s="62" t="s">
        <v>27</v>
      </c>
      <c r="F251" s="63" t="s">
        <v>26</v>
      </c>
      <c r="G251" s="64" t="s">
        <v>25</v>
      </c>
      <c r="H251" s="32"/>
      <c r="I251" s="37" t="s">
        <v>485</v>
      </c>
      <c r="J251" s="6" t="s">
        <v>401</v>
      </c>
    </row>
    <row r="252" ht="37.5" customHeight="1" spans="2:10">
      <c r="B252" s="60">
        <v>212</v>
      </c>
      <c r="C252" s="61" t="s">
        <v>486</v>
      </c>
      <c r="D252" s="15">
        <v>5</v>
      </c>
      <c r="E252" s="62" t="s">
        <v>27</v>
      </c>
      <c r="F252" s="63" t="s">
        <v>26</v>
      </c>
      <c r="G252" s="64" t="s">
        <v>25</v>
      </c>
      <c r="H252" s="32"/>
      <c r="I252" s="37" t="s">
        <v>487</v>
      </c>
      <c r="J252" s="6" t="s">
        <v>401</v>
      </c>
    </row>
    <row r="253" ht="37.5" customHeight="1" spans="2:10">
      <c r="B253" s="60">
        <v>213</v>
      </c>
      <c r="C253" s="61" t="s">
        <v>488</v>
      </c>
      <c r="D253" s="15">
        <v>5</v>
      </c>
      <c r="E253" s="62" t="s">
        <v>27</v>
      </c>
      <c r="F253" s="63" t="s">
        <v>26</v>
      </c>
      <c r="G253" s="64" t="s">
        <v>25</v>
      </c>
      <c r="H253" s="32"/>
      <c r="I253" s="37" t="s">
        <v>489</v>
      </c>
      <c r="J253" s="6" t="s">
        <v>401</v>
      </c>
    </row>
    <row r="254" ht="37.5" customHeight="1" spans="2:10">
      <c r="B254" s="60">
        <v>214</v>
      </c>
      <c r="C254" s="61" t="s">
        <v>490</v>
      </c>
      <c r="D254" s="15">
        <v>5</v>
      </c>
      <c r="E254" s="62" t="s">
        <v>27</v>
      </c>
      <c r="F254" s="63" t="s">
        <v>26</v>
      </c>
      <c r="G254" s="64" t="s">
        <v>25</v>
      </c>
      <c r="H254" s="32"/>
      <c r="I254" s="37" t="s">
        <v>491</v>
      </c>
      <c r="J254" s="6" t="s">
        <v>401</v>
      </c>
    </row>
    <row r="255" ht="37.5" customHeight="1" spans="2:10">
      <c r="B255" s="60">
        <v>215</v>
      </c>
      <c r="C255" s="61" t="s">
        <v>492</v>
      </c>
      <c r="D255" s="15">
        <v>5</v>
      </c>
      <c r="E255" s="62" t="s">
        <v>27</v>
      </c>
      <c r="F255" s="63" t="s">
        <v>26</v>
      </c>
      <c r="G255" s="64" t="s">
        <v>25</v>
      </c>
      <c r="H255" s="32"/>
      <c r="I255" s="37" t="s">
        <v>493</v>
      </c>
      <c r="J255" s="6" t="s">
        <v>401</v>
      </c>
    </row>
    <row r="256" ht="37.5" customHeight="1" spans="2:10">
      <c r="B256" s="60">
        <v>216</v>
      </c>
      <c r="C256" s="61" t="s">
        <v>494</v>
      </c>
      <c r="D256" s="15">
        <v>5</v>
      </c>
      <c r="E256" s="62" t="s">
        <v>27</v>
      </c>
      <c r="F256" s="63" t="s">
        <v>26</v>
      </c>
      <c r="G256" s="64" t="s">
        <v>25</v>
      </c>
      <c r="H256" s="32"/>
      <c r="I256" s="37" t="s">
        <v>495</v>
      </c>
      <c r="J256" s="6" t="s">
        <v>401</v>
      </c>
    </row>
    <row r="257" ht="37.5" customHeight="1" spans="2:10">
      <c r="B257" s="60">
        <v>217</v>
      </c>
      <c r="C257" s="61" t="s">
        <v>496</v>
      </c>
      <c r="D257" s="15">
        <v>5</v>
      </c>
      <c r="E257" s="62" t="s">
        <v>27</v>
      </c>
      <c r="F257" s="63" t="s">
        <v>26</v>
      </c>
      <c r="G257" s="64" t="s">
        <v>25</v>
      </c>
      <c r="H257" s="32"/>
      <c r="I257" s="37" t="s">
        <v>497</v>
      </c>
      <c r="J257" s="6" t="s">
        <v>401</v>
      </c>
    </row>
    <row r="258" ht="7.5" customHeight="1" spans="2:10">
      <c r="B258" s="33"/>
      <c r="C258" s="33"/>
      <c r="D258" s="33"/>
      <c r="E258" s="33"/>
      <c r="F258" s="33"/>
      <c r="G258" s="33"/>
      <c r="H258" s="33"/>
      <c r="I258" s="33"/>
      <c r="J258" s="33"/>
    </row>
    <row r="259" ht="37.5" customHeight="1" spans="2:10">
      <c r="B259" s="60">
        <v>218</v>
      </c>
      <c r="C259" s="61" t="s">
        <v>498</v>
      </c>
      <c r="D259" s="15">
        <v>5</v>
      </c>
      <c r="E259" s="62" t="s">
        <v>27</v>
      </c>
      <c r="F259" s="63" t="s">
        <v>26</v>
      </c>
      <c r="G259" s="64" t="s">
        <v>25</v>
      </c>
      <c r="H259" s="32"/>
      <c r="I259" s="37" t="s">
        <v>499</v>
      </c>
      <c r="J259" s="6" t="s">
        <v>401</v>
      </c>
    </row>
    <row r="260" ht="37.5" customHeight="1" spans="2:10">
      <c r="B260" s="60">
        <v>219</v>
      </c>
      <c r="C260" s="61" t="s">
        <v>500</v>
      </c>
      <c r="D260" s="15">
        <v>5</v>
      </c>
      <c r="E260" s="62" t="s">
        <v>27</v>
      </c>
      <c r="F260" s="63" t="s">
        <v>26</v>
      </c>
      <c r="G260" s="64" t="s">
        <v>25</v>
      </c>
      <c r="H260" s="32"/>
      <c r="I260" s="37" t="s">
        <v>501</v>
      </c>
      <c r="J260" s="6" t="s">
        <v>401</v>
      </c>
    </row>
    <row r="261" ht="37.5" customHeight="1" spans="2:10">
      <c r="B261" s="60">
        <v>220</v>
      </c>
      <c r="C261" s="61" t="s">
        <v>502</v>
      </c>
      <c r="D261" s="15">
        <v>5</v>
      </c>
      <c r="E261" s="62" t="s">
        <v>27</v>
      </c>
      <c r="F261" s="63" t="s">
        <v>26</v>
      </c>
      <c r="G261" s="64" t="s">
        <v>25</v>
      </c>
      <c r="H261" s="32"/>
      <c r="I261" s="37" t="s">
        <v>503</v>
      </c>
      <c r="J261" s="6" t="s">
        <v>401</v>
      </c>
    </row>
    <row r="262" ht="37.5" customHeight="1" spans="2:10">
      <c r="B262" s="60">
        <v>221</v>
      </c>
      <c r="C262" s="61" t="s">
        <v>504</v>
      </c>
      <c r="D262" s="15">
        <v>5</v>
      </c>
      <c r="E262" s="62" t="s">
        <v>27</v>
      </c>
      <c r="F262" s="63" t="s">
        <v>26</v>
      </c>
      <c r="G262" s="64" t="s">
        <v>25</v>
      </c>
      <c r="H262" s="32"/>
      <c r="I262" s="37" t="s">
        <v>505</v>
      </c>
      <c r="J262" s="6" t="s">
        <v>401</v>
      </c>
    </row>
    <row r="263" ht="37.5" customHeight="1" spans="2:10">
      <c r="B263" s="60">
        <v>222</v>
      </c>
      <c r="C263" s="61" t="s">
        <v>506</v>
      </c>
      <c r="D263" s="15">
        <v>5</v>
      </c>
      <c r="E263" s="62" t="s">
        <v>27</v>
      </c>
      <c r="F263" s="63" t="s">
        <v>26</v>
      </c>
      <c r="G263" s="64" t="s">
        <v>25</v>
      </c>
      <c r="H263" s="32"/>
      <c r="I263" s="37" t="s">
        <v>507</v>
      </c>
      <c r="J263" s="6" t="s">
        <v>401</v>
      </c>
    </row>
    <row r="264" ht="37.5" customHeight="1" spans="2:10">
      <c r="B264" s="60">
        <v>223</v>
      </c>
      <c r="C264" s="61" t="s">
        <v>508</v>
      </c>
      <c r="D264" s="15">
        <v>5</v>
      </c>
      <c r="E264" s="62" t="s">
        <v>27</v>
      </c>
      <c r="F264" s="63" t="s">
        <v>26</v>
      </c>
      <c r="G264" s="64" t="s">
        <v>25</v>
      </c>
      <c r="H264" s="32"/>
      <c r="I264" s="37" t="s">
        <v>509</v>
      </c>
      <c r="J264" s="6" t="s">
        <v>401</v>
      </c>
    </row>
    <row r="265" ht="37.5" customHeight="1" spans="2:10">
      <c r="B265" s="60">
        <v>224</v>
      </c>
      <c r="C265" s="61" t="s">
        <v>510</v>
      </c>
      <c r="D265" s="15">
        <v>5</v>
      </c>
      <c r="E265" s="62" t="s">
        <v>27</v>
      </c>
      <c r="F265" s="63" t="s">
        <v>26</v>
      </c>
      <c r="G265" s="64" t="s">
        <v>25</v>
      </c>
      <c r="H265" s="32"/>
      <c r="I265" s="37" t="s">
        <v>511</v>
      </c>
      <c r="J265" s="6" t="s">
        <v>401</v>
      </c>
    </row>
    <row r="266" ht="7.5" customHeight="1" spans="2:10">
      <c r="B266" s="33"/>
      <c r="C266" s="33"/>
      <c r="D266" s="33"/>
      <c r="E266" s="33"/>
      <c r="F266" s="33"/>
      <c r="G266" s="33"/>
      <c r="H266" s="33"/>
      <c r="I266" s="33"/>
      <c r="J266" s="33"/>
    </row>
    <row r="267" ht="13.5" customHeight="1" spans="2:10">
      <c r="B267" s="65" t="s">
        <v>512</v>
      </c>
      <c r="C267" s="65"/>
      <c r="D267" s="65"/>
      <c r="E267" s="65"/>
      <c r="F267" s="65"/>
      <c r="G267" s="65"/>
      <c r="H267" s="65"/>
      <c r="I267" s="65"/>
      <c r="J267" s="65"/>
    </row>
    <row r="268" ht="9.75" customHeight="1" spans="2:10">
      <c r="B268" s="41"/>
      <c r="C268" s="41"/>
      <c r="D268" s="41"/>
      <c r="E268" s="41"/>
      <c r="F268" s="41"/>
      <c r="G268" s="41"/>
      <c r="H268" s="41"/>
      <c r="I268" s="41"/>
      <c r="J268" s="41"/>
    </row>
    <row r="269" ht="37.5" customHeight="1" spans="2:10">
      <c r="B269" s="66">
        <v>225</v>
      </c>
      <c r="C269" s="67" t="s">
        <v>513</v>
      </c>
      <c r="D269" s="18">
        <v>6</v>
      </c>
      <c r="E269" s="68" t="s">
        <v>30</v>
      </c>
      <c r="F269" s="69" t="s">
        <v>29</v>
      </c>
      <c r="G269" s="70" t="s">
        <v>28</v>
      </c>
      <c r="H269" s="32"/>
      <c r="I269" s="37" t="s">
        <v>514</v>
      </c>
      <c r="J269" s="6" t="s">
        <v>515</v>
      </c>
    </row>
    <row r="270" ht="37.5" customHeight="1" spans="2:10">
      <c r="B270" s="66">
        <v>226</v>
      </c>
      <c r="C270" s="67" t="s">
        <v>516</v>
      </c>
      <c r="D270" s="18">
        <v>6</v>
      </c>
      <c r="E270" s="68" t="s">
        <v>30</v>
      </c>
      <c r="F270" s="69" t="s">
        <v>29</v>
      </c>
      <c r="G270" s="70" t="s">
        <v>28</v>
      </c>
      <c r="H270" s="32"/>
      <c r="I270" s="37" t="s">
        <v>517</v>
      </c>
      <c r="J270" s="6" t="s">
        <v>515</v>
      </c>
    </row>
    <row r="271" ht="37.5" customHeight="1" spans="2:10">
      <c r="B271" s="66">
        <v>227</v>
      </c>
      <c r="C271" s="67" t="s">
        <v>518</v>
      </c>
      <c r="D271" s="18">
        <v>6</v>
      </c>
      <c r="E271" s="68" t="s">
        <v>30</v>
      </c>
      <c r="F271" s="69" t="s">
        <v>29</v>
      </c>
      <c r="G271" s="70" t="s">
        <v>28</v>
      </c>
      <c r="H271" s="32"/>
      <c r="I271" s="37" t="s">
        <v>519</v>
      </c>
      <c r="J271" s="6" t="s">
        <v>515</v>
      </c>
    </row>
    <row r="272" ht="37.5" customHeight="1" spans="2:10">
      <c r="B272" s="66">
        <v>228</v>
      </c>
      <c r="C272" s="67" t="s">
        <v>520</v>
      </c>
      <c r="D272" s="18">
        <v>6</v>
      </c>
      <c r="E272" s="68" t="s">
        <v>30</v>
      </c>
      <c r="F272" s="69" t="s">
        <v>29</v>
      </c>
      <c r="G272" s="70" t="s">
        <v>28</v>
      </c>
      <c r="H272" s="32"/>
      <c r="I272" s="37" t="s">
        <v>521</v>
      </c>
      <c r="J272" s="6" t="s">
        <v>515</v>
      </c>
    </row>
    <row r="273" ht="37.5" customHeight="1" spans="2:10">
      <c r="B273" s="66">
        <v>229</v>
      </c>
      <c r="C273" s="67" t="s">
        <v>522</v>
      </c>
      <c r="D273" s="18">
        <v>6</v>
      </c>
      <c r="E273" s="68" t="s">
        <v>30</v>
      </c>
      <c r="F273" s="69" t="s">
        <v>29</v>
      </c>
      <c r="G273" s="70" t="s">
        <v>28</v>
      </c>
      <c r="H273" s="32"/>
      <c r="I273" s="37" t="s">
        <v>523</v>
      </c>
      <c r="J273" s="6" t="s">
        <v>515</v>
      </c>
    </row>
    <row r="274" ht="37.5" customHeight="1" spans="2:10">
      <c r="B274" s="66">
        <v>230</v>
      </c>
      <c r="C274" s="67" t="s">
        <v>524</v>
      </c>
      <c r="D274" s="18">
        <v>6</v>
      </c>
      <c r="E274" s="68" t="s">
        <v>30</v>
      </c>
      <c r="F274" s="69" t="s">
        <v>29</v>
      </c>
      <c r="G274" s="70" t="s">
        <v>28</v>
      </c>
      <c r="H274" s="32"/>
      <c r="I274" s="37" t="s">
        <v>525</v>
      </c>
      <c r="J274" s="6" t="s">
        <v>515</v>
      </c>
    </row>
    <row r="275" ht="37.5" customHeight="1" spans="2:10">
      <c r="B275" s="66">
        <v>231</v>
      </c>
      <c r="C275" s="67" t="s">
        <v>526</v>
      </c>
      <c r="D275" s="18">
        <v>6</v>
      </c>
      <c r="E275" s="68" t="s">
        <v>30</v>
      </c>
      <c r="F275" s="69" t="s">
        <v>29</v>
      </c>
      <c r="G275" s="70" t="s">
        <v>28</v>
      </c>
      <c r="H275" s="32"/>
      <c r="I275" s="37" t="s">
        <v>527</v>
      </c>
      <c r="J275" s="6" t="s">
        <v>515</v>
      </c>
    </row>
    <row r="276" ht="7.5" customHeight="1" spans="2:10">
      <c r="B276" s="33"/>
      <c r="C276" s="33"/>
      <c r="D276" s="33"/>
      <c r="E276" s="33"/>
      <c r="F276" s="33"/>
      <c r="G276" s="33"/>
      <c r="H276" s="33"/>
      <c r="I276" s="33"/>
      <c r="J276" s="33"/>
    </row>
    <row r="277" ht="37.5" customHeight="1" spans="2:10">
      <c r="B277" s="66">
        <v>232</v>
      </c>
      <c r="C277" s="67" t="s">
        <v>528</v>
      </c>
      <c r="D277" s="18">
        <v>6</v>
      </c>
      <c r="E277" s="68" t="s">
        <v>30</v>
      </c>
      <c r="F277" s="69" t="s">
        <v>29</v>
      </c>
      <c r="G277" s="70" t="s">
        <v>28</v>
      </c>
      <c r="H277" s="32"/>
      <c r="I277" s="37" t="s">
        <v>529</v>
      </c>
      <c r="J277" s="6" t="s">
        <v>515</v>
      </c>
    </row>
    <row r="278" ht="37.5" customHeight="1" spans="2:10">
      <c r="B278" s="66">
        <v>233</v>
      </c>
      <c r="C278" s="67" t="s">
        <v>530</v>
      </c>
      <c r="D278" s="18">
        <v>6</v>
      </c>
      <c r="E278" s="68" t="s">
        <v>30</v>
      </c>
      <c r="F278" s="69" t="s">
        <v>29</v>
      </c>
      <c r="G278" s="70" t="s">
        <v>28</v>
      </c>
      <c r="H278" s="32"/>
      <c r="I278" s="37" t="s">
        <v>531</v>
      </c>
      <c r="J278" s="6" t="s">
        <v>515</v>
      </c>
    </row>
    <row r="279" ht="37.5" customHeight="1" spans="2:10">
      <c r="B279" s="66">
        <v>234</v>
      </c>
      <c r="C279" s="67" t="s">
        <v>532</v>
      </c>
      <c r="D279" s="18">
        <v>6</v>
      </c>
      <c r="E279" s="68" t="s">
        <v>30</v>
      </c>
      <c r="F279" s="69" t="s">
        <v>29</v>
      </c>
      <c r="G279" s="70" t="s">
        <v>28</v>
      </c>
      <c r="H279" s="32"/>
      <c r="I279" s="37" t="s">
        <v>533</v>
      </c>
      <c r="J279" s="6" t="s">
        <v>515</v>
      </c>
    </row>
    <row r="280" ht="37.5" customHeight="1" spans="2:10">
      <c r="B280" s="66">
        <v>235</v>
      </c>
      <c r="C280" s="67" t="s">
        <v>534</v>
      </c>
      <c r="D280" s="18">
        <v>6</v>
      </c>
      <c r="E280" s="68" t="s">
        <v>30</v>
      </c>
      <c r="F280" s="69" t="s">
        <v>29</v>
      </c>
      <c r="G280" s="70" t="s">
        <v>28</v>
      </c>
      <c r="H280" s="32"/>
      <c r="I280" s="37" t="s">
        <v>535</v>
      </c>
      <c r="J280" s="6" t="s">
        <v>515</v>
      </c>
    </row>
    <row r="281" ht="37.5" customHeight="1" spans="2:10">
      <c r="B281" s="66">
        <v>236</v>
      </c>
      <c r="C281" s="67" t="s">
        <v>536</v>
      </c>
      <c r="D281" s="18">
        <v>6</v>
      </c>
      <c r="E281" s="68" t="s">
        <v>30</v>
      </c>
      <c r="F281" s="69" t="s">
        <v>29</v>
      </c>
      <c r="G281" s="70" t="s">
        <v>28</v>
      </c>
      <c r="H281" s="32"/>
      <c r="I281" s="37" t="s">
        <v>537</v>
      </c>
      <c r="J281" s="6" t="s">
        <v>515</v>
      </c>
    </row>
    <row r="282" ht="37.5" customHeight="1" spans="2:10">
      <c r="B282" s="66">
        <v>237</v>
      </c>
      <c r="C282" s="67" t="s">
        <v>538</v>
      </c>
      <c r="D282" s="18">
        <v>6</v>
      </c>
      <c r="E282" s="68" t="s">
        <v>30</v>
      </c>
      <c r="F282" s="69" t="s">
        <v>29</v>
      </c>
      <c r="G282" s="70" t="s">
        <v>28</v>
      </c>
      <c r="H282" s="32"/>
      <c r="I282" s="37" t="s">
        <v>539</v>
      </c>
      <c r="J282" s="6" t="s">
        <v>515</v>
      </c>
    </row>
    <row r="283" ht="37.5" customHeight="1" spans="2:10">
      <c r="B283" s="66">
        <v>238</v>
      </c>
      <c r="C283" s="67" t="s">
        <v>540</v>
      </c>
      <c r="D283" s="18">
        <v>6</v>
      </c>
      <c r="E283" s="68" t="s">
        <v>30</v>
      </c>
      <c r="F283" s="69" t="s">
        <v>29</v>
      </c>
      <c r="G283" s="70" t="s">
        <v>28</v>
      </c>
      <c r="H283" s="32"/>
      <c r="I283" s="37" t="s">
        <v>541</v>
      </c>
      <c r="J283" s="6" t="s">
        <v>515</v>
      </c>
    </row>
    <row r="284" ht="7.5" customHeight="1" spans="2:10">
      <c r="B284" s="33"/>
      <c r="C284" s="33"/>
      <c r="D284" s="33"/>
      <c r="E284" s="33"/>
      <c r="F284" s="33"/>
      <c r="G284" s="33"/>
      <c r="H284" s="33"/>
      <c r="I284" s="33"/>
      <c r="J284" s="33"/>
    </row>
    <row r="285" ht="37.5" customHeight="1" spans="2:10">
      <c r="B285" s="66">
        <v>239</v>
      </c>
      <c r="C285" s="67" t="s">
        <v>542</v>
      </c>
      <c r="D285" s="18">
        <v>6</v>
      </c>
      <c r="E285" s="68" t="s">
        <v>30</v>
      </c>
      <c r="F285" s="69" t="s">
        <v>29</v>
      </c>
      <c r="G285" s="70" t="s">
        <v>28</v>
      </c>
      <c r="H285" s="32"/>
      <c r="I285" s="37" t="s">
        <v>543</v>
      </c>
      <c r="J285" s="6" t="s">
        <v>515</v>
      </c>
    </row>
    <row r="286" ht="37.5" customHeight="1" spans="2:10">
      <c r="B286" s="66">
        <v>240</v>
      </c>
      <c r="C286" s="67" t="s">
        <v>544</v>
      </c>
      <c r="D286" s="18">
        <v>6</v>
      </c>
      <c r="E286" s="68" t="s">
        <v>30</v>
      </c>
      <c r="F286" s="69" t="s">
        <v>29</v>
      </c>
      <c r="G286" s="70" t="s">
        <v>28</v>
      </c>
      <c r="H286" s="32"/>
      <c r="I286" s="37" t="s">
        <v>545</v>
      </c>
      <c r="J286" s="6" t="s">
        <v>515</v>
      </c>
    </row>
    <row r="287" ht="37.5" customHeight="1" spans="2:10">
      <c r="B287" s="66">
        <v>241</v>
      </c>
      <c r="C287" s="67" t="s">
        <v>546</v>
      </c>
      <c r="D287" s="18">
        <v>6</v>
      </c>
      <c r="E287" s="68" t="s">
        <v>30</v>
      </c>
      <c r="F287" s="69" t="s">
        <v>29</v>
      </c>
      <c r="G287" s="70" t="s">
        <v>28</v>
      </c>
      <c r="H287" s="32"/>
      <c r="I287" s="37" t="s">
        <v>547</v>
      </c>
      <c r="J287" s="6" t="s">
        <v>515</v>
      </c>
    </row>
    <row r="288" ht="37.5" customHeight="1" spans="2:10">
      <c r="B288" s="66">
        <v>242</v>
      </c>
      <c r="C288" s="67" t="s">
        <v>548</v>
      </c>
      <c r="D288" s="18">
        <v>6</v>
      </c>
      <c r="E288" s="68" t="s">
        <v>30</v>
      </c>
      <c r="F288" s="69" t="s">
        <v>29</v>
      </c>
      <c r="G288" s="70" t="s">
        <v>28</v>
      </c>
      <c r="H288" s="32"/>
      <c r="I288" s="37" t="s">
        <v>549</v>
      </c>
      <c r="J288" s="6" t="s">
        <v>515</v>
      </c>
    </row>
    <row r="289" ht="37.5" customHeight="1" spans="2:10">
      <c r="B289" s="66">
        <v>243</v>
      </c>
      <c r="C289" s="67" t="s">
        <v>550</v>
      </c>
      <c r="D289" s="18">
        <v>6</v>
      </c>
      <c r="E289" s="68" t="s">
        <v>30</v>
      </c>
      <c r="F289" s="69" t="s">
        <v>29</v>
      </c>
      <c r="G289" s="70" t="s">
        <v>28</v>
      </c>
      <c r="H289" s="32"/>
      <c r="I289" s="37" t="s">
        <v>551</v>
      </c>
      <c r="J289" s="6" t="s">
        <v>515</v>
      </c>
    </row>
    <row r="290" ht="37.5" customHeight="1" spans="2:10">
      <c r="B290" s="66">
        <v>244</v>
      </c>
      <c r="C290" s="67" t="s">
        <v>552</v>
      </c>
      <c r="D290" s="18">
        <v>6</v>
      </c>
      <c r="E290" s="68" t="s">
        <v>30</v>
      </c>
      <c r="F290" s="69" t="s">
        <v>29</v>
      </c>
      <c r="G290" s="70" t="s">
        <v>28</v>
      </c>
      <c r="H290" s="32"/>
      <c r="I290" s="37" t="s">
        <v>553</v>
      </c>
      <c r="J290" s="6" t="s">
        <v>515</v>
      </c>
    </row>
    <row r="291" ht="37.5" customHeight="1" spans="2:10">
      <c r="B291" s="66">
        <v>245</v>
      </c>
      <c r="C291" s="67" t="s">
        <v>554</v>
      </c>
      <c r="D291" s="18">
        <v>6</v>
      </c>
      <c r="E291" s="68" t="s">
        <v>30</v>
      </c>
      <c r="F291" s="69" t="s">
        <v>29</v>
      </c>
      <c r="G291" s="70" t="s">
        <v>28</v>
      </c>
      <c r="H291" s="32"/>
      <c r="I291" s="37" t="s">
        <v>555</v>
      </c>
      <c r="J291" s="6" t="s">
        <v>515</v>
      </c>
    </row>
    <row r="292" ht="7.5" customHeight="1" spans="2:10">
      <c r="B292" s="33"/>
      <c r="C292" s="33"/>
      <c r="D292" s="33"/>
      <c r="E292" s="33"/>
      <c r="F292" s="33"/>
      <c r="G292" s="33"/>
      <c r="H292" s="33"/>
      <c r="I292" s="33"/>
      <c r="J292" s="33"/>
    </row>
    <row r="293" ht="37.5" customHeight="1" spans="2:10">
      <c r="B293" s="66">
        <v>246</v>
      </c>
      <c r="C293" s="67" t="s">
        <v>556</v>
      </c>
      <c r="D293" s="18">
        <v>6</v>
      </c>
      <c r="E293" s="68" t="s">
        <v>30</v>
      </c>
      <c r="F293" s="69" t="s">
        <v>29</v>
      </c>
      <c r="G293" s="70" t="s">
        <v>28</v>
      </c>
      <c r="H293" s="32"/>
      <c r="I293" s="37" t="s">
        <v>557</v>
      </c>
      <c r="J293" s="6" t="s">
        <v>515</v>
      </c>
    </row>
    <row r="294" ht="37.5" customHeight="1" spans="2:10">
      <c r="B294" s="66">
        <v>247</v>
      </c>
      <c r="C294" s="67" t="s">
        <v>558</v>
      </c>
      <c r="D294" s="18">
        <v>6</v>
      </c>
      <c r="E294" s="68" t="s">
        <v>30</v>
      </c>
      <c r="F294" s="69" t="s">
        <v>29</v>
      </c>
      <c r="G294" s="70" t="s">
        <v>28</v>
      </c>
      <c r="H294" s="32"/>
      <c r="I294" s="37" t="s">
        <v>559</v>
      </c>
      <c r="J294" s="6" t="s">
        <v>515</v>
      </c>
    </row>
    <row r="295" ht="37.5" customHeight="1" spans="2:10">
      <c r="B295" s="66">
        <v>248</v>
      </c>
      <c r="C295" s="67" t="s">
        <v>560</v>
      </c>
      <c r="D295" s="18">
        <v>6</v>
      </c>
      <c r="E295" s="68" t="s">
        <v>30</v>
      </c>
      <c r="F295" s="69" t="s">
        <v>29</v>
      </c>
      <c r="G295" s="70" t="s">
        <v>28</v>
      </c>
      <c r="H295" s="32"/>
      <c r="I295" s="37" t="s">
        <v>561</v>
      </c>
      <c r="J295" s="6" t="s">
        <v>515</v>
      </c>
    </row>
    <row r="296" ht="37.5" customHeight="1" spans="2:10">
      <c r="B296" s="66">
        <v>249</v>
      </c>
      <c r="C296" s="67" t="s">
        <v>562</v>
      </c>
      <c r="D296" s="18">
        <v>6</v>
      </c>
      <c r="E296" s="68" t="s">
        <v>30</v>
      </c>
      <c r="F296" s="69" t="s">
        <v>29</v>
      </c>
      <c r="G296" s="70" t="s">
        <v>28</v>
      </c>
      <c r="H296" s="32"/>
      <c r="I296" s="37" t="s">
        <v>563</v>
      </c>
      <c r="J296" s="6" t="s">
        <v>515</v>
      </c>
    </row>
    <row r="297" ht="37.5" customHeight="1" spans="2:10">
      <c r="B297" s="66">
        <v>250</v>
      </c>
      <c r="C297" s="67" t="s">
        <v>564</v>
      </c>
      <c r="D297" s="18">
        <v>6</v>
      </c>
      <c r="E297" s="68" t="s">
        <v>30</v>
      </c>
      <c r="F297" s="69" t="s">
        <v>29</v>
      </c>
      <c r="G297" s="70" t="s">
        <v>28</v>
      </c>
      <c r="H297" s="32"/>
      <c r="I297" s="37" t="s">
        <v>565</v>
      </c>
      <c r="J297" s="6" t="s">
        <v>515</v>
      </c>
    </row>
    <row r="298" ht="37.5" customHeight="1" spans="2:10">
      <c r="B298" s="66">
        <v>251</v>
      </c>
      <c r="C298" s="67" t="s">
        <v>566</v>
      </c>
      <c r="D298" s="18">
        <v>6</v>
      </c>
      <c r="E298" s="68" t="s">
        <v>30</v>
      </c>
      <c r="F298" s="69" t="s">
        <v>29</v>
      </c>
      <c r="G298" s="70" t="s">
        <v>28</v>
      </c>
      <c r="H298" s="32"/>
      <c r="I298" s="37" t="s">
        <v>567</v>
      </c>
      <c r="J298" s="6" t="s">
        <v>515</v>
      </c>
    </row>
    <row r="299" ht="37.5" customHeight="1" spans="2:10">
      <c r="B299" s="66">
        <v>252</v>
      </c>
      <c r="C299" s="67" t="s">
        <v>568</v>
      </c>
      <c r="D299" s="18">
        <v>6</v>
      </c>
      <c r="E299" s="68" t="s">
        <v>30</v>
      </c>
      <c r="F299" s="69" t="s">
        <v>29</v>
      </c>
      <c r="G299" s="70" t="s">
        <v>28</v>
      </c>
      <c r="H299" s="32"/>
      <c r="I299" s="37" t="s">
        <v>569</v>
      </c>
      <c r="J299" s="6" t="s">
        <v>515</v>
      </c>
    </row>
    <row r="300" ht="7.5" customHeight="1" spans="2:10">
      <c r="B300" s="33"/>
      <c r="C300" s="33"/>
      <c r="D300" s="33"/>
      <c r="E300" s="33"/>
      <c r="F300" s="33"/>
      <c r="G300" s="33"/>
      <c r="H300" s="33"/>
      <c r="I300" s="33"/>
      <c r="J300" s="33"/>
    </row>
    <row r="301" ht="37.5" customHeight="1" spans="2:10">
      <c r="B301" s="66">
        <v>253</v>
      </c>
      <c r="C301" s="67" t="s">
        <v>570</v>
      </c>
      <c r="D301" s="18">
        <v>6</v>
      </c>
      <c r="E301" s="68" t="s">
        <v>30</v>
      </c>
      <c r="F301" s="69" t="s">
        <v>29</v>
      </c>
      <c r="G301" s="70" t="s">
        <v>28</v>
      </c>
      <c r="H301" s="32"/>
      <c r="I301" s="37" t="s">
        <v>571</v>
      </c>
      <c r="J301" s="6" t="s">
        <v>515</v>
      </c>
    </row>
    <row r="302" ht="37.5" customHeight="1" spans="2:10">
      <c r="B302" s="66">
        <v>254</v>
      </c>
      <c r="C302" s="67" t="s">
        <v>572</v>
      </c>
      <c r="D302" s="18">
        <v>6</v>
      </c>
      <c r="E302" s="68" t="s">
        <v>30</v>
      </c>
      <c r="F302" s="69" t="s">
        <v>29</v>
      </c>
      <c r="G302" s="70" t="s">
        <v>28</v>
      </c>
      <c r="H302" s="32"/>
      <c r="I302" s="37" t="s">
        <v>573</v>
      </c>
      <c r="J302" s="6" t="s">
        <v>515</v>
      </c>
    </row>
    <row r="303" ht="37.5" customHeight="1" spans="2:10">
      <c r="B303" s="66">
        <v>255</v>
      </c>
      <c r="C303" s="67" t="s">
        <v>574</v>
      </c>
      <c r="D303" s="18">
        <v>6</v>
      </c>
      <c r="E303" s="68" t="s">
        <v>30</v>
      </c>
      <c r="F303" s="69" t="s">
        <v>29</v>
      </c>
      <c r="G303" s="70" t="s">
        <v>28</v>
      </c>
      <c r="H303" s="32"/>
      <c r="I303" s="37" t="s">
        <v>575</v>
      </c>
      <c r="J303" s="6" t="s">
        <v>515</v>
      </c>
    </row>
    <row r="304" ht="37.5" customHeight="1" spans="2:10">
      <c r="B304" s="66">
        <v>256</v>
      </c>
      <c r="C304" s="67" t="s">
        <v>576</v>
      </c>
      <c r="D304" s="18">
        <v>6</v>
      </c>
      <c r="E304" s="68" t="s">
        <v>30</v>
      </c>
      <c r="F304" s="69" t="s">
        <v>29</v>
      </c>
      <c r="G304" s="70" t="s">
        <v>28</v>
      </c>
      <c r="H304" s="32"/>
      <c r="I304" s="37" t="s">
        <v>577</v>
      </c>
      <c r="J304" s="6" t="s">
        <v>515</v>
      </c>
    </row>
    <row r="305" ht="37.5" customHeight="1" spans="2:10">
      <c r="B305" s="66">
        <v>257</v>
      </c>
      <c r="C305" s="67" t="s">
        <v>578</v>
      </c>
      <c r="D305" s="18">
        <v>6</v>
      </c>
      <c r="E305" s="68" t="s">
        <v>30</v>
      </c>
      <c r="F305" s="69" t="s">
        <v>29</v>
      </c>
      <c r="G305" s="70" t="s">
        <v>28</v>
      </c>
      <c r="H305" s="32"/>
      <c r="I305" s="37" t="s">
        <v>579</v>
      </c>
      <c r="J305" s="6" t="s">
        <v>515</v>
      </c>
    </row>
    <row r="306" ht="37.5" customHeight="1" spans="2:10">
      <c r="B306" s="66">
        <v>258</v>
      </c>
      <c r="C306" s="67" t="s">
        <v>580</v>
      </c>
      <c r="D306" s="18">
        <v>6</v>
      </c>
      <c r="E306" s="68" t="s">
        <v>30</v>
      </c>
      <c r="F306" s="69" t="s">
        <v>29</v>
      </c>
      <c r="G306" s="70" t="s">
        <v>28</v>
      </c>
      <c r="H306" s="32"/>
      <c r="I306" s="37" t="s">
        <v>581</v>
      </c>
      <c r="J306" s="6" t="s">
        <v>515</v>
      </c>
    </row>
    <row r="307" ht="37.5" customHeight="1" spans="2:10">
      <c r="B307" s="66">
        <v>259</v>
      </c>
      <c r="C307" s="67" t="s">
        <v>582</v>
      </c>
      <c r="D307" s="18">
        <v>6</v>
      </c>
      <c r="E307" s="68" t="s">
        <v>30</v>
      </c>
      <c r="F307" s="69" t="s">
        <v>29</v>
      </c>
      <c r="G307" s="70" t="s">
        <v>28</v>
      </c>
      <c r="H307" s="32"/>
      <c r="I307" s="37" t="s">
        <v>583</v>
      </c>
      <c r="J307" s="6" t="s">
        <v>515</v>
      </c>
    </row>
    <row r="308" ht="7.5" customHeight="1" spans="2:10">
      <c r="B308" s="33"/>
      <c r="C308" s="33"/>
      <c r="D308" s="33"/>
      <c r="E308" s="33"/>
      <c r="F308" s="33"/>
      <c r="G308" s="33"/>
      <c r="H308" s="33"/>
      <c r="I308" s="33"/>
      <c r="J308" s="33"/>
    </row>
    <row r="309" ht="37.5" customHeight="1" spans="2:10">
      <c r="B309" s="66">
        <v>260</v>
      </c>
      <c r="C309" s="67" t="s">
        <v>584</v>
      </c>
      <c r="D309" s="18">
        <v>6</v>
      </c>
      <c r="E309" s="68" t="s">
        <v>30</v>
      </c>
      <c r="F309" s="69" t="s">
        <v>29</v>
      </c>
      <c r="G309" s="70" t="s">
        <v>28</v>
      </c>
      <c r="H309" s="32"/>
      <c r="I309" s="37" t="s">
        <v>585</v>
      </c>
      <c r="J309" s="6" t="s">
        <v>515</v>
      </c>
    </row>
    <row r="310" ht="37.5" customHeight="1" spans="2:10">
      <c r="B310" s="66">
        <v>261</v>
      </c>
      <c r="C310" s="67" t="s">
        <v>586</v>
      </c>
      <c r="D310" s="18">
        <v>6</v>
      </c>
      <c r="E310" s="68" t="s">
        <v>30</v>
      </c>
      <c r="F310" s="69" t="s">
        <v>29</v>
      </c>
      <c r="G310" s="70" t="s">
        <v>28</v>
      </c>
      <c r="H310" s="32"/>
      <c r="I310" s="37" t="s">
        <v>587</v>
      </c>
      <c r="J310" s="6" t="s">
        <v>515</v>
      </c>
    </row>
    <row r="311" ht="37.5" customHeight="1" spans="2:10">
      <c r="B311" s="66">
        <v>262</v>
      </c>
      <c r="C311" s="67" t="s">
        <v>588</v>
      </c>
      <c r="D311" s="18">
        <v>6</v>
      </c>
      <c r="E311" s="68" t="s">
        <v>30</v>
      </c>
      <c r="F311" s="69" t="s">
        <v>29</v>
      </c>
      <c r="G311" s="70" t="s">
        <v>28</v>
      </c>
      <c r="H311" s="32"/>
      <c r="I311" s="37" t="s">
        <v>589</v>
      </c>
      <c r="J311" s="6" t="s">
        <v>515</v>
      </c>
    </row>
    <row r="312" ht="37.5" customHeight="1" spans="2:10">
      <c r="B312" s="66">
        <v>263</v>
      </c>
      <c r="C312" s="67" t="s">
        <v>590</v>
      </c>
      <c r="D312" s="18">
        <v>6</v>
      </c>
      <c r="E312" s="68" t="s">
        <v>30</v>
      </c>
      <c r="F312" s="69" t="s">
        <v>29</v>
      </c>
      <c r="G312" s="70" t="s">
        <v>28</v>
      </c>
      <c r="H312" s="32"/>
      <c r="I312" s="37" t="s">
        <v>591</v>
      </c>
      <c r="J312" s="6" t="s">
        <v>515</v>
      </c>
    </row>
    <row r="313" ht="37.5" customHeight="1" spans="2:10">
      <c r="B313" s="66">
        <v>264</v>
      </c>
      <c r="C313" s="67" t="s">
        <v>592</v>
      </c>
      <c r="D313" s="18">
        <v>6</v>
      </c>
      <c r="E313" s="68" t="s">
        <v>30</v>
      </c>
      <c r="F313" s="69" t="s">
        <v>29</v>
      </c>
      <c r="G313" s="70" t="s">
        <v>28</v>
      </c>
      <c r="H313" s="32"/>
      <c r="I313" s="37" t="s">
        <v>593</v>
      </c>
      <c r="J313" s="6" t="s">
        <v>515</v>
      </c>
    </row>
    <row r="314" ht="37.5" customHeight="1" spans="2:10">
      <c r="B314" s="66">
        <v>265</v>
      </c>
      <c r="C314" s="67" t="s">
        <v>594</v>
      </c>
      <c r="D314" s="18">
        <v>6</v>
      </c>
      <c r="E314" s="68" t="s">
        <v>30</v>
      </c>
      <c r="F314" s="69" t="s">
        <v>29</v>
      </c>
      <c r="G314" s="70" t="s">
        <v>28</v>
      </c>
      <c r="H314" s="32"/>
      <c r="I314" s="37" t="s">
        <v>595</v>
      </c>
      <c r="J314" s="6" t="s">
        <v>515</v>
      </c>
    </row>
    <row r="315" ht="37.5" customHeight="1" spans="2:10">
      <c r="B315" s="66">
        <v>266</v>
      </c>
      <c r="C315" s="67" t="s">
        <v>596</v>
      </c>
      <c r="D315" s="18">
        <v>6</v>
      </c>
      <c r="E315" s="68" t="s">
        <v>30</v>
      </c>
      <c r="F315" s="69" t="s">
        <v>29</v>
      </c>
      <c r="G315" s="70" t="s">
        <v>28</v>
      </c>
      <c r="H315" s="32"/>
      <c r="I315" s="37" t="s">
        <v>597</v>
      </c>
      <c r="J315" s="6" t="s">
        <v>515</v>
      </c>
    </row>
    <row r="316" ht="7.5" customHeight="1" spans="2:10">
      <c r="B316" s="33"/>
      <c r="C316" s="33"/>
      <c r="D316" s="33"/>
      <c r="E316" s="33"/>
      <c r="F316" s="33"/>
      <c r="G316" s="33"/>
      <c r="H316" s="33"/>
      <c r="I316" s="33"/>
      <c r="J316" s="33"/>
    </row>
    <row r="317" ht="37.5" customHeight="1" spans="2:10">
      <c r="B317" s="66">
        <v>267</v>
      </c>
      <c r="C317" s="67" t="s">
        <v>598</v>
      </c>
      <c r="D317" s="18">
        <v>6</v>
      </c>
      <c r="E317" s="68" t="s">
        <v>30</v>
      </c>
      <c r="F317" s="69" t="s">
        <v>29</v>
      </c>
      <c r="G317" s="70" t="s">
        <v>28</v>
      </c>
      <c r="H317" s="32"/>
      <c r="I317" s="37" t="s">
        <v>599</v>
      </c>
      <c r="J317" s="6" t="s">
        <v>515</v>
      </c>
    </row>
    <row r="318" ht="37.5" customHeight="1" spans="2:10">
      <c r="B318" s="66">
        <v>268</v>
      </c>
      <c r="C318" s="67" t="s">
        <v>600</v>
      </c>
      <c r="D318" s="18">
        <v>6</v>
      </c>
      <c r="E318" s="68" t="s">
        <v>30</v>
      </c>
      <c r="F318" s="69" t="s">
        <v>29</v>
      </c>
      <c r="G318" s="70" t="s">
        <v>28</v>
      </c>
      <c r="H318" s="32"/>
      <c r="I318" s="37" t="s">
        <v>601</v>
      </c>
      <c r="J318" s="6" t="s">
        <v>515</v>
      </c>
    </row>
    <row r="319" ht="37.5" customHeight="1" spans="2:10">
      <c r="B319" s="66">
        <v>269</v>
      </c>
      <c r="C319" s="67" t="s">
        <v>602</v>
      </c>
      <c r="D319" s="18">
        <v>6</v>
      </c>
      <c r="E319" s="68" t="s">
        <v>30</v>
      </c>
      <c r="F319" s="69" t="s">
        <v>29</v>
      </c>
      <c r="G319" s="70" t="s">
        <v>28</v>
      </c>
      <c r="H319" s="32"/>
      <c r="I319" s="37" t="s">
        <v>603</v>
      </c>
      <c r="J319" s="6" t="s">
        <v>515</v>
      </c>
    </row>
    <row r="320" ht="37.5" customHeight="1" spans="2:10">
      <c r="B320" s="66">
        <v>270</v>
      </c>
      <c r="C320" s="67" t="s">
        <v>604</v>
      </c>
      <c r="D320" s="18">
        <v>6</v>
      </c>
      <c r="E320" s="68" t="s">
        <v>30</v>
      </c>
      <c r="F320" s="69" t="s">
        <v>29</v>
      </c>
      <c r="G320" s="70" t="s">
        <v>28</v>
      </c>
      <c r="H320" s="32"/>
      <c r="I320" s="37" t="s">
        <v>605</v>
      </c>
      <c r="J320" s="6" t="s">
        <v>515</v>
      </c>
    </row>
    <row r="321" ht="37.5" customHeight="1" spans="2:10">
      <c r="B321" s="66">
        <v>271</v>
      </c>
      <c r="C321" s="67" t="s">
        <v>606</v>
      </c>
      <c r="D321" s="18">
        <v>6</v>
      </c>
      <c r="E321" s="68" t="s">
        <v>30</v>
      </c>
      <c r="F321" s="69" t="s">
        <v>29</v>
      </c>
      <c r="G321" s="70" t="s">
        <v>28</v>
      </c>
      <c r="H321" s="32"/>
      <c r="I321" s="37" t="s">
        <v>607</v>
      </c>
      <c r="J321" s="6" t="s">
        <v>515</v>
      </c>
    </row>
    <row r="322" ht="37.5" customHeight="1" spans="2:10">
      <c r="B322" s="66">
        <v>272</v>
      </c>
      <c r="C322" s="67" t="s">
        <v>608</v>
      </c>
      <c r="D322" s="18">
        <v>6</v>
      </c>
      <c r="E322" s="68" t="s">
        <v>30</v>
      </c>
      <c r="F322" s="69" t="s">
        <v>29</v>
      </c>
      <c r="G322" s="70" t="s">
        <v>28</v>
      </c>
      <c r="H322" s="32"/>
      <c r="I322" s="37" t="s">
        <v>609</v>
      </c>
      <c r="J322" s="6" t="s">
        <v>515</v>
      </c>
    </row>
    <row r="323" ht="37.5" customHeight="1" spans="2:10">
      <c r="B323" s="66">
        <v>273</v>
      </c>
      <c r="C323" s="67" t="s">
        <v>610</v>
      </c>
      <c r="D323" s="18">
        <v>6</v>
      </c>
      <c r="E323" s="68" t="s">
        <v>30</v>
      </c>
      <c r="F323" s="69" t="s">
        <v>29</v>
      </c>
      <c r="G323" s="70" t="s">
        <v>28</v>
      </c>
      <c r="H323" s="32"/>
      <c r="I323" s="37" t="s">
        <v>611</v>
      </c>
      <c r="J323" s="6" t="s">
        <v>515</v>
      </c>
    </row>
    <row r="324" ht="7.5" customHeight="1" spans="2:10">
      <c r="B324" s="33"/>
      <c r="C324" s="33"/>
      <c r="D324" s="33"/>
      <c r="E324" s="33"/>
      <c r="F324" s="33"/>
      <c r="G324" s="33"/>
      <c r="H324" s="33"/>
      <c r="I324" s="33"/>
      <c r="J324" s="33"/>
    </row>
    <row r="325" ht="37.5" customHeight="1" spans="2:10">
      <c r="B325" s="66">
        <v>274</v>
      </c>
      <c r="C325" s="67" t="s">
        <v>612</v>
      </c>
      <c r="D325" s="18">
        <v>6</v>
      </c>
      <c r="E325" s="68" t="s">
        <v>30</v>
      </c>
      <c r="F325" s="69" t="s">
        <v>29</v>
      </c>
      <c r="G325" s="70" t="s">
        <v>28</v>
      </c>
      <c r="H325" s="32"/>
      <c r="I325" s="37" t="s">
        <v>613</v>
      </c>
      <c r="J325" s="6" t="s">
        <v>515</v>
      </c>
    </row>
    <row r="326" ht="37.5" customHeight="1" spans="2:10">
      <c r="B326" s="66">
        <v>275</v>
      </c>
      <c r="C326" s="67" t="s">
        <v>614</v>
      </c>
      <c r="D326" s="18">
        <v>6</v>
      </c>
      <c r="E326" s="68" t="s">
        <v>30</v>
      </c>
      <c r="F326" s="69" t="s">
        <v>29</v>
      </c>
      <c r="G326" s="70" t="s">
        <v>28</v>
      </c>
      <c r="H326" s="32"/>
      <c r="I326" s="37" t="s">
        <v>615</v>
      </c>
      <c r="J326" s="6" t="s">
        <v>515</v>
      </c>
    </row>
    <row r="327" ht="37.5" customHeight="1" spans="2:10">
      <c r="B327" s="66">
        <v>276</v>
      </c>
      <c r="C327" s="67" t="s">
        <v>616</v>
      </c>
      <c r="D327" s="18">
        <v>6</v>
      </c>
      <c r="E327" s="68" t="s">
        <v>30</v>
      </c>
      <c r="F327" s="69" t="s">
        <v>29</v>
      </c>
      <c r="G327" s="70" t="s">
        <v>28</v>
      </c>
      <c r="H327" s="32"/>
      <c r="I327" s="37" t="s">
        <v>617</v>
      </c>
      <c r="J327" s="6" t="s">
        <v>515</v>
      </c>
    </row>
    <row r="328" ht="37.5" customHeight="1" spans="2:10">
      <c r="B328" s="66">
        <v>277</v>
      </c>
      <c r="C328" s="67" t="s">
        <v>618</v>
      </c>
      <c r="D328" s="18">
        <v>6</v>
      </c>
      <c r="E328" s="68" t="s">
        <v>30</v>
      </c>
      <c r="F328" s="69" t="s">
        <v>29</v>
      </c>
      <c r="G328" s="70" t="s">
        <v>28</v>
      </c>
      <c r="H328" s="32"/>
      <c r="I328" s="37" t="s">
        <v>619</v>
      </c>
      <c r="J328" s="6" t="s">
        <v>515</v>
      </c>
    </row>
    <row r="329" ht="37.5" customHeight="1" spans="2:10">
      <c r="B329" s="66">
        <v>278</v>
      </c>
      <c r="C329" s="67" t="s">
        <v>620</v>
      </c>
      <c r="D329" s="18">
        <v>6</v>
      </c>
      <c r="E329" s="68" t="s">
        <v>30</v>
      </c>
      <c r="F329" s="69" t="s">
        <v>29</v>
      </c>
      <c r="G329" s="70" t="s">
        <v>28</v>
      </c>
      <c r="H329" s="32"/>
      <c r="I329" s="37" t="s">
        <v>621</v>
      </c>
      <c r="J329" s="6" t="s">
        <v>515</v>
      </c>
    </row>
    <row r="330" ht="37.5" customHeight="1" spans="2:10">
      <c r="B330" s="66">
        <v>279</v>
      </c>
      <c r="C330" s="67" t="s">
        <v>622</v>
      </c>
      <c r="D330" s="18">
        <v>6</v>
      </c>
      <c r="E330" s="68" t="s">
        <v>30</v>
      </c>
      <c r="F330" s="69" t="s">
        <v>29</v>
      </c>
      <c r="G330" s="70" t="s">
        <v>28</v>
      </c>
      <c r="H330" s="32"/>
      <c r="I330" s="37" t="s">
        <v>623</v>
      </c>
      <c r="J330" s="6" t="s">
        <v>515</v>
      </c>
    </row>
    <row r="331" ht="37.5" customHeight="1" spans="2:10">
      <c r="B331" s="66">
        <v>280</v>
      </c>
      <c r="C331" s="67" t="s">
        <v>624</v>
      </c>
      <c r="D331" s="18">
        <v>6</v>
      </c>
      <c r="E331" s="68" t="s">
        <v>30</v>
      </c>
      <c r="F331" s="69" t="s">
        <v>29</v>
      </c>
      <c r="G331" s="70" t="s">
        <v>28</v>
      </c>
      <c r="H331" s="32"/>
      <c r="I331" s="37" t="s">
        <v>625</v>
      </c>
      <c r="J331" s="6" t="s">
        <v>515</v>
      </c>
    </row>
    <row r="332" ht="7.5" customHeight="1" spans="2:10">
      <c r="B332" s="33"/>
      <c r="C332" s="33"/>
      <c r="D332" s="33"/>
      <c r="E332" s="33"/>
      <c r="F332" s="33"/>
      <c r="G332" s="33"/>
      <c r="H332" s="33"/>
      <c r="I332" s="33"/>
      <c r="J332" s="33"/>
    </row>
    <row r="333" ht="13.5" customHeight="1" spans="2:10">
      <c r="B333" s="71" t="s">
        <v>626</v>
      </c>
      <c r="C333" s="71"/>
      <c r="D333" s="71"/>
      <c r="E333" s="71"/>
      <c r="F333" s="71"/>
      <c r="G333" s="71"/>
      <c r="H333" s="71"/>
      <c r="I333" s="71"/>
      <c r="J333" s="71"/>
    </row>
    <row r="334" ht="9.75" customHeight="1" spans="2:10">
      <c r="B334" s="41"/>
      <c r="C334" s="41"/>
      <c r="D334" s="41"/>
      <c r="E334" s="41"/>
      <c r="F334" s="41"/>
      <c r="G334" s="41"/>
      <c r="H334" s="41"/>
      <c r="I334" s="41"/>
      <c r="J334" s="41"/>
    </row>
    <row r="335" ht="37.5" customHeight="1" spans="2:10">
      <c r="B335" s="72">
        <v>281</v>
      </c>
      <c r="C335" s="73" t="s">
        <v>627</v>
      </c>
      <c r="D335" s="20">
        <v>7</v>
      </c>
      <c r="E335" s="74" t="s">
        <v>33</v>
      </c>
      <c r="F335" s="75" t="s">
        <v>32</v>
      </c>
      <c r="G335" s="76" t="s">
        <v>31</v>
      </c>
      <c r="H335" s="32"/>
      <c r="I335" s="37" t="s">
        <v>628</v>
      </c>
      <c r="J335" s="6" t="s">
        <v>629</v>
      </c>
    </row>
    <row r="336" ht="37.5" customHeight="1" spans="2:10">
      <c r="B336" s="72">
        <v>282</v>
      </c>
      <c r="C336" s="73" t="s">
        <v>630</v>
      </c>
      <c r="D336" s="20">
        <v>7</v>
      </c>
      <c r="E336" s="74" t="s">
        <v>33</v>
      </c>
      <c r="F336" s="75" t="s">
        <v>32</v>
      </c>
      <c r="G336" s="76" t="s">
        <v>31</v>
      </c>
      <c r="H336" s="32"/>
      <c r="I336" s="37" t="s">
        <v>631</v>
      </c>
      <c r="J336" s="6" t="s">
        <v>629</v>
      </c>
    </row>
    <row r="337" ht="37.5" customHeight="1" spans="2:10">
      <c r="B337" s="72">
        <v>283</v>
      </c>
      <c r="C337" s="73" t="s">
        <v>632</v>
      </c>
      <c r="D337" s="20">
        <v>7</v>
      </c>
      <c r="E337" s="74" t="s">
        <v>33</v>
      </c>
      <c r="F337" s="75" t="s">
        <v>32</v>
      </c>
      <c r="G337" s="76" t="s">
        <v>31</v>
      </c>
      <c r="H337" s="32"/>
      <c r="I337" s="37" t="s">
        <v>633</v>
      </c>
      <c r="J337" s="6" t="s">
        <v>629</v>
      </c>
    </row>
    <row r="338" ht="37.5" customHeight="1" spans="2:10">
      <c r="B338" s="72">
        <v>284</v>
      </c>
      <c r="C338" s="73" t="s">
        <v>634</v>
      </c>
      <c r="D338" s="20">
        <v>7</v>
      </c>
      <c r="E338" s="74" t="s">
        <v>33</v>
      </c>
      <c r="F338" s="75" t="s">
        <v>32</v>
      </c>
      <c r="G338" s="76" t="s">
        <v>31</v>
      </c>
      <c r="H338" s="32"/>
      <c r="I338" s="37" t="s">
        <v>635</v>
      </c>
      <c r="J338" s="6" t="s">
        <v>629</v>
      </c>
    </row>
    <row r="339" ht="37.5" customHeight="1" spans="2:10">
      <c r="B339" s="72">
        <v>285</v>
      </c>
      <c r="C339" s="73" t="s">
        <v>636</v>
      </c>
      <c r="D339" s="20">
        <v>7</v>
      </c>
      <c r="E339" s="74" t="s">
        <v>33</v>
      </c>
      <c r="F339" s="75" t="s">
        <v>32</v>
      </c>
      <c r="G339" s="76" t="s">
        <v>31</v>
      </c>
      <c r="H339" s="32"/>
      <c r="I339" s="37" t="s">
        <v>637</v>
      </c>
      <c r="J339" s="6" t="s">
        <v>629</v>
      </c>
    </row>
    <row r="340" ht="37.5" customHeight="1" spans="2:10">
      <c r="B340" s="72">
        <v>286</v>
      </c>
      <c r="C340" s="73" t="s">
        <v>638</v>
      </c>
      <c r="D340" s="20">
        <v>7</v>
      </c>
      <c r="E340" s="74" t="s">
        <v>33</v>
      </c>
      <c r="F340" s="75" t="s">
        <v>32</v>
      </c>
      <c r="G340" s="76" t="s">
        <v>31</v>
      </c>
      <c r="H340" s="32"/>
      <c r="I340" s="37" t="s">
        <v>639</v>
      </c>
      <c r="J340" s="6" t="s">
        <v>629</v>
      </c>
    </row>
    <row r="341" ht="37.5" customHeight="1" spans="2:10">
      <c r="B341" s="72">
        <v>287</v>
      </c>
      <c r="C341" s="73" t="s">
        <v>640</v>
      </c>
      <c r="D341" s="20">
        <v>7</v>
      </c>
      <c r="E341" s="74" t="s">
        <v>33</v>
      </c>
      <c r="F341" s="75" t="s">
        <v>32</v>
      </c>
      <c r="G341" s="76" t="s">
        <v>31</v>
      </c>
      <c r="H341" s="32"/>
      <c r="I341" s="37" t="s">
        <v>641</v>
      </c>
      <c r="J341" s="6" t="s">
        <v>629</v>
      </c>
    </row>
    <row r="342" ht="7.5" customHeight="1" spans="2:10">
      <c r="B342" s="33"/>
      <c r="C342" s="33"/>
      <c r="D342" s="33"/>
      <c r="E342" s="33"/>
      <c r="F342" s="33"/>
      <c r="G342" s="33"/>
      <c r="H342" s="33"/>
      <c r="I342" s="33"/>
      <c r="J342" s="33"/>
    </row>
    <row r="343" ht="37.5" customHeight="1" spans="2:10">
      <c r="B343" s="72">
        <v>288</v>
      </c>
      <c r="C343" s="73" t="s">
        <v>642</v>
      </c>
      <c r="D343" s="20">
        <v>7</v>
      </c>
      <c r="E343" s="74" t="s">
        <v>33</v>
      </c>
      <c r="F343" s="75" t="s">
        <v>32</v>
      </c>
      <c r="G343" s="76" t="s">
        <v>31</v>
      </c>
      <c r="H343" s="32"/>
      <c r="I343" s="37" t="s">
        <v>643</v>
      </c>
      <c r="J343" s="6" t="s">
        <v>629</v>
      </c>
    </row>
    <row r="344" ht="37.5" customHeight="1" spans="2:10">
      <c r="B344" s="72">
        <v>289</v>
      </c>
      <c r="C344" s="73" t="s">
        <v>644</v>
      </c>
      <c r="D344" s="20">
        <v>7</v>
      </c>
      <c r="E344" s="74" t="s">
        <v>33</v>
      </c>
      <c r="F344" s="75" t="s">
        <v>32</v>
      </c>
      <c r="G344" s="76" t="s">
        <v>31</v>
      </c>
      <c r="H344" s="32"/>
      <c r="I344" s="37" t="s">
        <v>645</v>
      </c>
      <c r="J344" s="6" t="s">
        <v>629</v>
      </c>
    </row>
    <row r="345" ht="37.5" customHeight="1" spans="2:10">
      <c r="B345" s="72">
        <v>290</v>
      </c>
      <c r="C345" s="73" t="s">
        <v>646</v>
      </c>
      <c r="D345" s="20">
        <v>7</v>
      </c>
      <c r="E345" s="74" t="s">
        <v>33</v>
      </c>
      <c r="F345" s="75" t="s">
        <v>32</v>
      </c>
      <c r="G345" s="76" t="s">
        <v>31</v>
      </c>
      <c r="H345" s="32"/>
      <c r="I345" s="37" t="s">
        <v>647</v>
      </c>
      <c r="J345" s="6" t="s">
        <v>629</v>
      </c>
    </row>
    <row r="346" ht="37.5" customHeight="1" spans="2:10">
      <c r="B346" s="72">
        <v>291</v>
      </c>
      <c r="C346" s="73" t="s">
        <v>648</v>
      </c>
      <c r="D346" s="20">
        <v>7</v>
      </c>
      <c r="E346" s="74" t="s">
        <v>33</v>
      </c>
      <c r="F346" s="75" t="s">
        <v>32</v>
      </c>
      <c r="G346" s="76" t="s">
        <v>31</v>
      </c>
      <c r="H346" s="32"/>
      <c r="I346" s="37" t="s">
        <v>649</v>
      </c>
      <c r="J346" s="6" t="s">
        <v>629</v>
      </c>
    </row>
    <row r="347" ht="37.5" customHeight="1" spans="2:10">
      <c r="B347" s="72">
        <v>292</v>
      </c>
      <c r="C347" s="73" t="s">
        <v>650</v>
      </c>
      <c r="D347" s="20">
        <v>7</v>
      </c>
      <c r="E347" s="74" t="s">
        <v>33</v>
      </c>
      <c r="F347" s="75" t="s">
        <v>32</v>
      </c>
      <c r="G347" s="76" t="s">
        <v>31</v>
      </c>
      <c r="H347" s="32"/>
      <c r="I347" s="37" t="s">
        <v>651</v>
      </c>
      <c r="J347" s="6" t="s">
        <v>629</v>
      </c>
    </row>
    <row r="348" ht="37.5" customHeight="1" spans="2:10">
      <c r="B348" s="72">
        <v>293</v>
      </c>
      <c r="C348" s="73" t="s">
        <v>652</v>
      </c>
      <c r="D348" s="20">
        <v>7</v>
      </c>
      <c r="E348" s="74" t="s">
        <v>33</v>
      </c>
      <c r="F348" s="75" t="s">
        <v>32</v>
      </c>
      <c r="G348" s="76" t="s">
        <v>31</v>
      </c>
      <c r="H348" s="32"/>
      <c r="I348" s="37" t="s">
        <v>653</v>
      </c>
      <c r="J348" s="6" t="s">
        <v>629</v>
      </c>
    </row>
    <row r="349" ht="37.5" customHeight="1" spans="2:10">
      <c r="B349" s="72">
        <v>294</v>
      </c>
      <c r="C349" s="73" t="s">
        <v>654</v>
      </c>
      <c r="D349" s="20">
        <v>7</v>
      </c>
      <c r="E349" s="74" t="s">
        <v>33</v>
      </c>
      <c r="F349" s="75" t="s">
        <v>32</v>
      </c>
      <c r="G349" s="76" t="s">
        <v>31</v>
      </c>
      <c r="H349" s="32"/>
      <c r="I349" s="37" t="s">
        <v>655</v>
      </c>
      <c r="J349" s="6" t="s">
        <v>629</v>
      </c>
    </row>
    <row r="350" ht="7.5" customHeight="1" spans="2:10">
      <c r="B350" s="33"/>
      <c r="C350" s="33"/>
      <c r="D350" s="33"/>
      <c r="E350" s="33"/>
      <c r="F350" s="33"/>
      <c r="G350" s="33"/>
      <c r="H350" s="33"/>
      <c r="I350" s="33"/>
      <c r="J350" s="33"/>
    </row>
    <row r="351" ht="37.5" customHeight="1" spans="2:10">
      <c r="B351" s="72">
        <v>295</v>
      </c>
      <c r="C351" s="73" t="s">
        <v>656</v>
      </c>
      <c r="D351" s="20">
        <v>7</v>
      </c>
      <c r="E351" s="74" t="s">
        <v>33</v>
      </c>
      <c r="F351" s="75" t="s">
        <v>32</v>
      </c>
      <c r="G351" s="76" t="s">
        <v>31</v>
      </c>
      <c r="H351" s="32"/>
      <c r="I351" s="37" t="s">
        <v>657</v>
      </c>
      <c r="J351" s="6" t="s">
        <v>629</v>
      </c>
    </row>
    <row r="352" ht="37.5" customHeight="1" spans="2:10">
      <c r="B352" s="72">
        <v>296</v>
      </c>
      <c r="C352" s="73" t="s">
        <v>658</v>
      </c>
      <c r="D352" s="20">
        <v>7</v>
      </c>
      <c r="E352" s="74" t="s">
        <v>33</v>
      </c>
      <c r="F352" s="75" t="s">
        <v>32</v>
      </c>
      <c r="G352" s="76" t="s">
        <v>31</v>
      </c>
      <c r="H352" s="32"/>
      <c r="I352" s="37" t="s">
        <v>659</v>
      </c>
      <c r="J352" s="6" t="s">
        <v>629</v>
      </c>
    </row>
    <row r="353" ht="37.5" customHeight="1" spans="2:10">
      <c r="B353" s="72">
        <v>297</v>
      </c>
      <c r="C353" s="73" t="s">
        <v>660</v>
      </c>
      <c r="D353" s="20">
        <v>7</v>
      </c>
      <c r="E353" s="74" t="s">
        <v>33</v>
      </c>
      <c r="F353" s="75" t="s">
        <v>32</v>
      </c>
      <c r="G353" s="76" t="s">
        <v>31</v>
      </c>
      <c r="H353" s="32"/>
      <c r="I353" s="37" t="s">
        <v>661</v>
      </c>
      <c r="J353" s="6" t="s">
        <v>629</v>
      </c>
    </row>
    <row r="354" ht="37.5" customHeight="1" spans="2:10">
      <c r="B354" s="72">
        <v>298</v>
      </c>
      <c r="C354" s="73" t="s">
        <v>662</v>
      </c>
      <c r="D354" s="20">
        <v>7</v>
      </c>
      <c r="E354" s="74" t="s">
        <v>33</v>
      </c>
      <c r="F354" s="75" t="s">
        <v>32</v>
      </c>
      <c r="G354" s="76" t="s">
        <v>31</v>
      </c>
      <c r="H354" s="32"/>
      <c r="I354" s="37" t="s">
        <v>663</v>
      </c>
      <c r="J354" s="6" t="s">
        <v>629</v>
      </c>
    </row>
    <row r="355" ht="37.5" customHeight="1" spans="2:10">
      <c r="B355" s="72">
        <v>299</v>
      </c>
      <c r="C355" s="73" t="s">
        <v>664</v>
      </c>
      <c r="D355" s="20">
        <v>7</v>
      </c>
      <c r="E355" s="74" t="s">
        <v>33</v>
      </c>
      <c r="F355" s="75" t="s">
        <v>32</v>
      </c>
      <c r="G355" s="76" t="s">
        <v>31</v>
      </c>
      <c r="H355" s="32"/>
      <c r="I355" s="37" t="s">
        <v>665</v>
      </c>
      <c r="J355" s="6" t="s">
        <v>629</v>
      </c>
    </row>
    <row r="356" ht="37.5" customHeight="1" spans="2:10">
      <c r="B356" s="72">
        <v>300</v>
      </c>
      <c r="C356" s="73" t="s">
        <v>666</v>
      </c>
      <c r="D356" s="20">
        <v>7</v>
      </c>
      <c r="E356" s="74" t="s">
        <v>33</v>
      </c>
      <c r="F356" s="75" t="s">
        <v>32</v>
      </c>
      <c r="G356" s="76" t="s">
        <v>31</v>
      </c>
      <c r="H356" s="32"/>
      <c r="I356" s="37" t="s">
        <v>667</v>
      </c>
      <c r="J356" s="6" t="s">
        <v>629</v>
      </c>
    </row>
    <row r="357" ht="37.5" customHeight="1" spans="2:10">
      <c r="B357" s="72">
        <v>301</v>
      </c>
      <c r="C357" s="73" t="s">
        <v>668</v>
      </c>
      <c r="D357" s="20">
        <v>7</v>
      </c>
      <c r="E357" s="74" t="s">
        <v>33</v>
      </c>
      <c r="F357" s="75" t="s">
        <v>32</v>
      </c>
      <c r="G357" s="76" t="s">
        <v>31</v>
      </c>
      <c r="H357" s="32"/>
      <c r="I357" s="37" t="s">
        <v>669</v>
      </c>
      <c r="J357" s="6" t="s">
        <v>629</v>
      </c>
    </row>
    <row r="358" ht="7.5" customHeight="1" spans="2:10">
      <c r="B358" s="33"/>
      <c r="C358" s="33"/>
      <c r="D358" s="33"/>
      <c r="E358" s="33"/>
      <c r="F358" s="33"/>
      <c r="G358" s="33"/>
      <c r="H358" s="33"/>
      <c r="I358" s="33"/>
      <c r="J358" s="33"/>
    </row>
    <row r="359" ht="37.5" customHeight="1" spans="2:10">
      <c r="B359" s="72">
        <v>302</v>
      </c>
      <c r="C359" s="73" t="s">
        <v>670</v>
      </c>
      <c r="D359" s="20">
        <v>7</v>
      </c>
      <c r="E359" s="74" t="s">
        <v>33</v>
      </c>
      <c r="F359" s="75" t="s">
        <v>32</v>
      </c>
      <c r="G359" s="76" t="s">
        <v>31</v>
      </c>
      <c r="H359" s="32"/>
      <c r="I359" s="37" t="s">
        <v>671</v>
      </c>
      <c r="J359" s="6" t="s">
        <v>629</v>
      </c>
    </row>
    <row r="360" ht="37.5" customHeight="1" spans="2:10">
      <c r="B360" s="72">
        <v>303</v>
      </c>
      <c r="C360" s="73" t="s">
        <v>672</v>
      </c>
      <c r="D360" s="20">
        <v>7</v>
      </c>
      <c r="E360" s="74" t="s">
        <v>33</v>
      </c>
      <c r="F360" s="75" t="s">
        <v>32</v>
      </c>
      <c r="G360" s="76" t="s">
        <v>31</v>
      </c>
      <c r="H360" s="32"/>
      <c r="I360" s="37" t="s">
        <v>673</v>
      </c>
      <c r="J360" s="6" t="s">
        <v>629</v>
      </c>
    </row>
    <row r="361" ht="37.5" customHeight="1" spans="2:10">
      <c r="B361" s="72">
        <v>304</v>
      </c>
      <c r="C361" s="73" t="s">
        <v>674</v>
      </c>
      <c r="D361" s="20">
        <v>7</v>
      </c>
      <c r="E361" s="74" t="s">
        <v>33</v>
      </c>
      <c r="F361" s="75" t="s">
        <v>32</v>
      </c>
      <c r="G361" s="76" t="s">
        <v>31</v>
      </c>
      <c r="H361" s="32"/>
      <c r="I361" s="37" t="s">
        <v>675</v>
      </c>
      <c r="J361" s="6" t="s">
        <v>629</v>
      </c>
    </row>
    <row r="362" ht="37.5" customHeight="1" spans="2:10">
      <c r="B362" s="72">
        <v>305</v>
      </c>
      <c r="C362" s="73" t="s">
        <v>676</v>
      </c>
      <c r="D362" s="20">
        <v>7</v>
      </c>
      <c r="E362" s="74" t="s">
        <v>33</v>
      </c>
      <c r="F362" s="75" t="s">
        <v>32</v>
      </c>
      <c r="G362" s="76" t="s">
        <v>31</v>
      </c>
      <c r="H362" s="32"/>
      <c r="I362" s="37" t="s">
        <v>677</v>
      </c>
      <c r="J362" s="6" t="s">
        <v>629</v>
      </c>
    </row>
    <row r="363" ht="37.5" customHeight="1" spans="2:10">
      <c r="B363" s="72">
        <v>306</v>
      </c>
      <c r="C363" s="73" t="s">
        <v>678</v>
      </c>
      <c r="D363" s="20">
        <v>7</v>
      </c>
      <c r="E363" s="74" t="s">
        <v>33</v>
      </c>
      <c r="F363" s="75" t="s">
        <v>32</v>
      </c>
      <c r="G363" s="76" t="s">
        <v>31</v>
      </c>
      <c r="H363" s="32"/>
      <c r="I363" s="37" t="s">
        <v>679</v>
      </c>
      <c r="J363" s="6" t="s">
        <v>629</v>
      </c>
    </row>
    <row r="364" ht="37.5" customHeight="1" spans="2:10">
      <c r="B364" s="72">
        <v>307</v>
      </c>
      <c r="C364" s="73" t="s">
        <v>680</v>
      </c>
      <c r="D364" s="20">
        <v>7</v>
      </c>
      <c r="E364" s="74" t="s">
        <v>33</v>
      </c>
      <c r="F364" s="75" t="s">
        <v>32</v>
      </c>
      <c r="G364" s="76" t="s">
        <v>31</v>
      </c>
      <c r="H364" s="32"/>
      <c r="I364" s="37" t="s">
        <v>681</v>
      </c>
      <c r="J364" s="6" t="s">
        <v>629</v>
      </c>
    </row>
    <row r="365" ht="37.5" customHeight="1" spans="2:10">
      <c r="B365" s="72">
        <v>308</v>
      </c>
      <c r="C365" s="73" t="s">
        <v>682</v>
      </c>
      <c r="D365" s="20">
        <v>7</v>
      </c>
      <c r="E365" s="74" t="s">
        <v>33</v>
      </c>
      <c r="F365" s="75" t="s">
        <v>32</v>
      </c>
      <c r="G365" s="76" t="s">
        <v>31</v>
      </c>
      <c r="H365" s="32"/>
      <c r="I365" s="37" t="s">
        <v>683</v>
      </c>
      <c r="J365" s="6" t="s">
        <v>629</v>
      </c>
    </row>
    <row r="366" ht="7.5" customHeight="1" spans="2:10">
      <c r="B366" s="33"/>
      <c r="C366" s="33"/>
      <c r="D366" s="33"/>
      <c r="E366" s="33"/>
      <c r="F366" s="33"/>
      <c r="G366" s="33"/>
      <c r="H366" s="33"/>
      <c r="I366" s="33"/>
      <c r="J366" s="33"/>
    </row>
    <row r="367" ht="13.5" customHeight="1" spans="2:10">
      <c r="B367" s="77" t="s">
        <v>684</v>
      </c>
      <c r="C367" s="77"/>
      <c r="D367" s="77"/>
      <c r="E367" s="77"/>
      <c r="F367" s="77"/>
      <c r="G367" s="77"/>
      <c r="H367" s="77"/>
      <c r="I367" s="77"/>
      <c r="J367" s="77"/>
    </row>
    <row r="368" ht="9.75" customHeight="1" spans="2:10">
      <c r="B368" s="41"/>
      <c r="C368" s="41"/>
      <c r="D368" s="41"/>
      <c r="E368" s="41"/>
      <c r="F368" s="41"/>
      <c r="G368" s="41"/>
      <c r="H368" s="41"/>
      <c r="I368" s="41"/>
      <c r="J368" s="41"/>
    </row>
    <row r="369" ht="37.5" customHeight="1" spans="2:10">
      <c r="B369" s="78">
        <v>309</v>
      </c>
      <c r="C369" s="79" t="s">
        <v>685</v>
      </c>
      <c r="D369" s="23">
        <v>8</v>
      </c>
      <c r="E369" s="80" t="s">
        <v>36</v>
      </c>
      <c r="F369" s="81" t="s">
        <v>35</v>
      </c>
      <c r="G369" s="82" t="s">
        <v>34</v>
      </c>
      <c r="H369" s="32"/>
      <c r="I369" s="37" t="s">
        <v>686</v>
      </c>
      <c r="J369" s="6" t="s">
        <v>687</v>
      </c>
    </row>
    <row r="370" ht="37.5" customHeight="1" spans="2:10">
      <c r="B370" s="78">
        <v>310</v>
      </c>
      <c r="C370" s="79" t="s">
        <v>688</v>
      </c>
      <c r="D370" s="23">
        <v>8</v>
      </c>
      <c r="E370" s="80" t="s">
        <v>36</v>
      </c>
      <c r="F370" s="81" t="s">
        <v>35</v>
      </c>
      <c r="G370" s="82" t="s">
        <v>34</v>
      </c>
      <c r="H370" s="32"/>
      <c r="I370" s="37" t="s">
        <v>689</v>
      </c>
      <c r="J370" s="6" t="s">
        <v>687</v>
      </c>
    </row>
    <row r="371" ht="37.5" customHeight="1" spans="2:10">
      <c r="B371" s="78">
        <v>311</v>
      </c>
      <c r="C371" s="79" t="s">
        <v>690</v>
      </c>
      <c r="D371" s="23">
        <v>8</v>
      </c>
      <c r="E371" s="80" t="s">
        <v>36</v>
      </c>
      <c r="F371" s="81" t="s">
        <v>35</v>
      </c>
      <c r="G371" s="82" t="s">
        <v>34</v>
      </c>
      <c r="H371" s="32"/>
      <c r="I371" s="37" t="s">
        <v>691</v>
      </c>
      <c r="J371" s="6" t="s">
        <v>687</v>
      </c>
    </row>
    <row r="372" ht="37.5" customHeight="1" spans="2:10">
      <c r="B372" s="78">
        <v>312</v>
      </c>
      <c r="C372" s="79" t="s">
        <v>692</v>
      </c>
      <c r="D372" s="23">
        <v>8</v>
      </c>
      <c r="E372" s="80" t="s">
        <v>36</v>
      </c>
      <c r="F372" s="81" t="s">
        <v>35</v>
      </c>
      <c r="G372" s="82" t="s">
        <v>34</v>
      </c>
      <c r="H372" s="32"/>
      <c r="I372" s="37" t="s">
        <v>693</v>
      </c>
      <c r="J372" s="6" t="s">
        <v>687</v>
      </c>
    </row>
    <row r="373" ht="37.5" customHeight="1" spans="2:10">
      <c r="B373" s="78">
        <v>313</v>
      </c>
      <c r="C373" s="79" t="s">
        <v>694</v>
      </c>
      <c r="D373" s="23">
        <v>8</v>
      </c>
      <c r="E373" s="80" t="s">
        <v>36</v>
      </c>
      <c r="F373" s="81" t="s">
        <v>35</v>
      </c>
      <c r="G373" s="82" t="s">
        <v>34</v>
      </c>
      <c r="H373" s="32"/>
      <c r="I373" s="37" t="s">
        <v>695</v>
      </c>
      <c r="J373" s="6" t="s">
        <v>687</v>
      </c>
    </row>
    <row r="374" ht="37.5" customHeight="1" spans="2:10">
      <c r="B374" s="78">
        <v>314</v>
      </c>
      <c r="C374" s="79" t="s">
        <v>696</v>
      </c>
      <c r="D374" s="23">
        <v>8</v>
      </c>
      <c r="E374" s="80" t="s">
        <v>36</v>
      </c>
      <c r="F374" s="81" t="s">
        <v>35</v>
      </c>
      <c r="G374" s="82" t="s">
        <v>34</v>
      </c>
      <c r="H374" s="32"/>
      <c r="I374" s="37" t="s">
        <v>697</v>
      </c>
      <c r="J374" s="6" t="s">
        <v>687</v>
      </c>
    </row>
    <row r="375" ht="37.5" customHeight="1" spans="2:10">
      <c r="B375" s="78">
        <v>315</v>
      </c>
      <c r="C375" s="79" t="s">
        <v>698</v>
      </c>
      <c r="D375" s="23">
        <v>8</v>
      </c>
      <c r="E375" s="80" t="s">
        <v>36</v>
      </c>
      <c r="F375" s="81" t="s">
        <v>35</v>
      </c>
      <c r="G375" s="82" t="s">
        <v>34</v>
      </c>
      <c r="H375" s="32"/>
      <c r="I375" s="37" t="s">
        <v>699</v>
      </c>
      <c r="J375" s="6" t="s">
        <v>687</v>
      </c>
    </row>
    <row r="376" ht="7.5" customHeight="1" spans="2:10">
      <c r="B376" s="33"/>
      <c r="C376" s="33"/>
      <c r="D376" s="33"/>
      <c r="E376" s="33"/>
      <c r="F376" s="33"/>
      <c r="G376" s="33"/>
      <c r="H376" s="33"/>
      <c r="I376" s="33"/>
      <c r="J376" s="33"/>
    </row>
    <row r="377" ht="37.5" customHeight="1" spans="2:10">
      <c r="B377" s="78">
        <v>316</v>
      </c>
      <c r="C377" s="79" t="s">
        <v>700</v>
      </c>
      <c r="D377" s="23">
        <v>8</v>
      </c>
      <c r="E377" s="80" t="s">
        <v>36</v>
      </c>
      <c r="F377" s="81" t="s">
        <v>35</v>
      </c>
      <c r="G377" s="82" t="s">
        <v>34</v>
      </c>
      <c r="H377" s="32"/>
      <c r="I377" s="37" t="s">
        <v>701</v>
      </c>
      <c r="J377" s="6" t="s">
        <v>687</v>
      </c>
    </row>
    <row r="378" ht="37.5" customHeight="1" spans="2:10">
      <c r="B378" s="78">
        <v>317</v>
      </c>
      <c r="C378" s="79" t="s">
        <v>702</v>
      </c>
      <c r="D378" s="23">
        <v>8</v>
      </c>
      <c r="E378" s="80" t="s">
        <v>36</v>
      </c>
      <c r="F378" s="81" t="s">
        <v>35</v>
      </c>
      <c r="G378" s="82" t="s">
        <v>34</v>
      </c>
      <c r="H378" s="32"/>
      <c r="I378" s="37" t="s">
        <v>703</v>
      </c>
      <c r="J378" s="6" t="s">
        <v>687</v>
      </c>
    </row>
    <row r="379" ht="37.5" customHeight="1" spans="2:10">
      <c r="B379" s="78">
        <v>318</v>
      </c>
      <c r="C379" s="79" t="s">
        <v>704</v>
      </c>
      <c r="D379" s="23">
        <v>8</v>
      </c>
      <c r="E379" s="80" t="s">
        <v>36</v>
      </c>
      <c r="F379" s="81" t="s">
        <v>35</v>
      </c>
      <c r="G379" s="82" t="s">
        <v>34</v>
      </c>
      <c r="H379" s="32"/>
      <c r="I379" s="37" t="s">
        <v>705</v>
      </c>
      <c r="J379" s="6" t="s">
        <v>687</v>
      </c>
    </row>
    <row r="380" ht="37.5" customHeight="1" spans="2:10">
      <c r="B380" s="78">
        <v>319</v>
      </c>
      <c r="C380" s="79" t="s">
        <v>706</v>
      </c>
      <c r="D380" s="23">
        <v>8</v>
      </c>
      <c r="E380" s="80" t="s">
        <v>36</v>
      </c>
      <c r="F380" s="81" t="s">
        <v>35</v>
      </c>
      <c r="G380" s="82" t="s">
        <v>34</v>
      </c>
      <c r="H380" s="32"/>
      <c r="I380" s="37" t="s">
        <v>707</v>
      </c>
      <c r="J380" s="6" t="s">
        <v>687</v>
      </c>
    </row>
    <row r="381" ht="37.5" customHeight="1" spans="2:10">
      <c r="B381" s="78">
        <v>320</v>
      </c>
      <c r="C381" s="79" t="s">
        <v>708</v>
      </c>
      <c r="D381" s="23">
        <v>8</v>
      </c>
      <c r="E381" s="80" t="s">
        <v>36</v>
      </c>
      <c r="F381" s="81" t="s">
        <v>35</v>
      </c>
      <c r="G381" s="82" t="s">
        <v>34</v>
      </c>
      <c r="H381" s="32"/>
      <c r="I381" s="37" t="s">
        <v>709</v>
      </c>
      <c r="J381" s="6" t="s">
        <v>687</v>
      </c>
    </row>
    <row r="382" ht="37.5" customHeight="1" spans="2:10">
      <c r="B382" s="78">
        <v>321</v>
      </c>
      <c r="C382" s="79" t="s">
        <v>710</v>
      </c>
      <c r="D382" s="23">
        <v>8</v>
      </c>
      <c r="E382" s="80" t="s">
        <v>36</v>
      </c>
      <c r="F382" s="81" t="s">
        <v>35</v>
      </c>
      <c r="G382" s="82" t="s">
        <v>34</v>
      </c>
      <c r="H382" s="32"/>
      <c r="I382" s="37" t="s">
        <v>711</v>
      </c>
      <c r="J382" s="6" t="s">
        <v>687</v>
      </c>
    </row>
    <row r="383" ht="37.5" customHeight="1" spans="2:10">
      <c r="B383" s="78">
        <v>322</v>
      </c>
      <c r="C383" s="79" t="s">
        <v>712</v>
      </c>
      <c r="D383" s="23">
        <v>8</v>
      </c>
      <c r="E383" s="80" t="s">
        <v>36</v>
      </c>
      <c r="F383" s="81" t="s">
        <v>35</v>
      </c>
      <c r="G383" s="82" t="s">
        <v>34</v>
      </c>
      <c r="H383" s="32"/>
      <c r="I383" s="37" t="s">
        <v>713</v>
      </c>
      <c r="J383" s="6" t="s">
        <v>687</v>
      </c>
    </row>
    <row r="384" ht="7.5" customHeight="1" spans="2:10">
      <c r="B384" s="33"/>
      <c r="C384" s="33"/>
      <c r="D384" s="33"/>
      <c r="E384" s="33"/>
      <c r="F384" s="33"/>
      <c r="G384" s="33"/>
      <c r="H384" s="33"/>
      <c r="I384" s="33"/>
      <c r="J384" s="33"/>
    </row>
    <row r="385" ht="37.5" customHeight="1" spans="2:10">
      <c r="B385" s="78">
        <v>323</v>
      </c>
      <c r="C385" s="79" t="s">
        <v>714</v>
      </c>
      <c r="D385" s="23">
        <v>8</v>
      </c>
      <c r="E385" s="80" t="s">
        <v>36</v>
      </c>
      <c r="F385" s="81" t="s">
        <v>35</v>
      </c>
      <c r="G385" s="82" t="s">
        <v>34</v>
      </c>
      <c r="H385" s="32"/>
      <c r="I385" s="37" t="s">
        <v>715</v>
      </c>
      <c r="J385" s="6" t="s">
        <v>687</v>
      </c>
    </row>
    <row r="386" ht="37.5" customHeight="1" spans="2:10">
      <c r="B386" s="78">
        <v>324</v>
      </c>
      <c r="C386" s="79" t="s">
        <v>716</v>
      </c>
      <c r="D386" s="23">
        <v>8</v>
      </c>
      <c r="E386" s="80" t="s">
        <v>36</v>
      </c>
      <c r="F386" s="81" t="s">
        <v>35</v>
      </c>
      <c r="G386" s="82" t="s">
        <v>34</v>
      </c>
      <c r="H386" s="32"/>
      <c r="I386" s="37" t="s">
        <v>717</v>
      </c>
      <c r="J386" s="6" t="s">
        <v>687</v>
      </c>
    </row>
    <row r="387" ht="37.5" customHeight="1" spans="2:10">
      <c r="B387" s="78">
        <v>325</v>
      </c>
      <c r="C387" s="79" t="s">
        <v>718</v>
      </c>
      <c r="D387" s="23">
        <v>8</v>
      </c>
      <c r="E387" s="80" t="s">
        <v>36</v>
      </c>
      <c r="F387" s="81" t="s">
        <v>35</v>
      </c>
      <c r="G387" s="82" t="s">
        <v>34</v>
      </c>
      <c r="H387" s="32"/>
      <c r="I387" s="37" t="s">
        <v>719</v>
      </c>
      <c r="J387" s="6" t="s">
        <v>687</v>
      </c>
    </row>
    <row r="388" ht="37.5" customHeight="1" spans="2:10">
      <c r="B388" s="78">
        <v>326</v>
      </c>
      <c r="C388" s="79" t="s">
        <v>720</v>
      </c>
      <c r="D388" s="23">
        <v>8</v>
      </c>
      <c r="E388" s="80" t="s">
        <v>36</v>
      </c>
      <c r="F388" s="81" t="s">
        <v>35</v>
      </c>
      <c r="G388" s="82" t="s">
        <v>34</v>
      </c>
      <c r="H388" s="32"/>
      <c r="I388" s="37" t="s">
        <v>721</v>
      </c>
      <c r="J388" s="6" t="s">
        <v>687</v>
      </c>
    </row>
    <row r="389" ht="37.5" customHeight="1" spans="2:10">
      <c r="B389" s="78">
        <v>327</v>
      </c>
      <c r="C389" s="79" t="s">
        <v>722</v>
      </c>
      <c r="D389" s="23">
        <v>8</v>
      </c>
      <c r="E389" s="80" t="s">
        <v>36</v>
      </c>
      <c r="F389" s="81" t="s">
        <v>35</v>
      </c>
      <c r="G389" s="82" t="s">
        <v>34</v>
      </c>
      <c r="H389" s="32"/>
      <c r="I389" s="37" t="s">
        <v>723</v>
      </c>
      <c r="J389" s="6" t="s">
        <v>687</v>
      </c>
    </row>
    <row r="390" ht="37.5" customHeight="1" spans="2:10">
      <c r="B390" s="78">
        <v>328</v>
      </c>
      <c r="C390" s="79" t="s">
        <v>724</v>
      </c>
      <c r="D390" s="23">
        <v>8</v>
      </c>
      <c r="E390" s="80" t="s">
        <v>36</v>
      </c>
      <c r="F390" s="81" t="s">
        <v>35</v>
      </c>
      <c r="G390" s="82" t="s">
        <v>34</v>
      </c>
      <c r="H390" s="32"/>
      <c r="I390" s="37" t="s">
        <v>725</v>
      </c>
      <c r="J390" s="6" t="s">
        <v>687</v>
      </c>
    </row>
    <row r="391" ht="37.5" customHeight="1" spans="2:10">
      <c r="B391" s="78">
        <v>329</v>
      </c>
      <c r="C391" s="79" t="s">
        <v>726</v>
      </c>
      <c r="D391" s="23">
        <v>8</v>
      </c>
      <c r="E391" s="80" t="s">
        <v>36</v>
      </c>
      <c r="F391" s="81" t="s">
        <v>35</v>
      </c>
      <c r="G391" s="82" t="s">
        <v>34</v>
      </c>
      <c r="H391" s="32"/>
      <c r="I391" s="37" t="s">
        <v>727</v>
      </c>
      <c r="J391" s="6" t="s">
        <v>687</v>
      </c>
    </row>
    <row r="392" ht="7.5" customHeight="1" spans="2:10">
      <c r="B392" s="33"/>
      <c r="C392" s="33"/>
      <c r="D392" s="33"/>
      <c r="E392" s="33"/>
      <c r="F392" s="33"/>
      <c r="G392" s="33"/>
      <c r="H392" s="33"/>
      <c r="I392" s="33"/>
      <c r="J392" s="33"/>
    </row>
    <row r="393" ht="37.5" customHeight="1" spans="2:10">
      <c r="B393" s="78">
        <v>330</v>
      </c>
      <c r="C393" s="79" t="s">
        <v>728</v>
      </c>
      <c r="D393" s="23">
        <v>8</v>
      </c>
      <c r="E393" s="80" t="s">
        <v>36</v>
      </c>
      <c r="F393" s="81" t="s">
        <v>35</v>
      </c>
      <c r="G393" s="82" t="s">
        <v>34</v>
      </c>
      <c r="H393" s="32"/>
      <c r="I393" s="37" t="s">
        <v>729</v>
      </c>
      <c r="J393" s="6" t="s">
        <v>687</v>
      </c>
    </row>
    <row r="394" ht="37.5" customHeight="1" spans="2:10">
      <c r="B394" s="78">
        <v>331</v>
      </c>
      <c r="C394" s="79" t="s">
        <v>730</v>
      </c>
      <c r="D394" s="23">
        <v>8</v>
      </c>
      <c r="E394" s="80" t="s">
        <v>36</v>
      </c>
      <c r="F394" s="81" t="s">
        <v>35</v>
      </c>
      <c r="G394" s="82" t="s">
        <v>34</v>
      </c>
      <c r="H394" s="32"/>
      <c r="I394" s="37" t="s">
        <v>731</v>
      </c>
      <c r="J394" s="6" t="s">
        <v>687</v>
      </c>
    </row>
    <row r="395" ht="37.5" customHeight="1" spans="2:10">
      <c r="B395" s="78">
        <v>332</v>
      </c>
      <c r="C395" s="79" t="s">
        <v>732</v>
      </c>
      <c r="D395" s="23">
        <v>8</v>
      </c>
      <c r="E395" s="80" t="s">
        <v>36</v>
      </c>
      <c r="F395" s="81" t="s">
        <v>35</v>
      </c>
      <c r="G395" s="82" t="s">
        <v>34</v>
      </c>
      <c r="H395" s="32"/>
      <c r="I395" s="37" t="s">
        <v>733</v>
      </c>
      <c r="J395" s="6" t="s">
        <v>687</v>
      </c>
    </row>
    <row r="396" ht="37.5" customHeight="1" spans="2:10">
      <c r="B396" s="78">
        <v>333</v>
      </c>
      <c r="C396" s="79" t="s">
        <v>734</v>
      </c>
      <c r="D396" s="23">
        <v>8</v>
      </c>
      <c r="E396" s="80" t="s">
        <v>36</v>
      </c>
      <c r="F396" s="81" t="s">
        <v>35</v>
      </c>
      <c r="G396" s="82" t="s">
        <v>34</v>
      </c>
      <c r="H396" s="32"/>
      <c r="I396" s="37" t="s">
        <v>735</v>
      </c>
      <c r="J396" s="6" t="s">
        <v>687</v>
      </c>
    </row>
    <row r="397" ht="37.5" customHeight="1" spans="2:10">
      <c r="B397" s="78">
        <v>334</v>
      </c>
      <c r="C397" s="79" t="s">
        <v>736</v>
      </c>
      <c r="D397" s="23">
        <v>8</v>
      </c>
      <c r="E397" s="80" t="s">
        <v>36</v>
      </c>
      <c r="F397" s="81" t="s">
        <v>35</v>
      </c>
      <c r="G397" s="82" t="s">
        <v>34</v>
      </c>
      <c r="H397" s="32"/>
      <c r="I397" s="37" t="s">
        <v>737</v>
      </c>
      <c r="J397" s="6" t="s">
        <v>687</v>
      </c>
    </row>
    <row r="398" ht="37.5" customHeight="1" spans="2:10">
      <c r="B398" s="78">
        <v>335</v>
      </c>
      <c r="C398" s="79" t="s">
        <v>738</v>
      </c>
      <c r="D398" s="23">
        <v>8</v>
      </c>
      <c r="E398" s="80" t="s">
        <v>36</v>
      </c>
      <c r="F398" s="81" t="s">
        <v>35</v>
      </c>
      <c r="G398" s="82" t="s">
        <v>34</v>
      </c>
      <c r="H398" s="32"/>
      <c r="I398" s="37" t="s">
        <v>739</v>
      </c>
      <c r="J398" s="6" t="s">
        <v>687</v>
      </c>
    </row>
    <row r="399" ht="37.5" customHeight="1" spans="2:10">
      <c r="B399" s="78">
        <v>336</v>
      </c>
      <c r="C399" s="79" t="s">
        <v>740</v>
      </c>
      <c r="D399" s="23">
        <v>8</v>
      </c>
      <c r="E399" s="80" t="s">
        <v>36</v>
      </c>
      <c r="F399" s="81" t="s">
        <v>35</v>
      </c>
      <c r="G399" s="82" t="s">
        <v>34</v>
      </c>
      <c r="H399" s="32"/>
      <c r="I399" s="37" t="s">
        <v>741</v>
      </c>
      <c r="J399" s="6" t="s">
        <v>687</v>
      </c>
    </row>
    <row r="400" ht="7.5" customHeight="1" spans="2:10">
      <c r="B400" s="33"/>
      <c r="C400" s="33"/>
      <c r="D400" s="33"/>
      <c r="E400" s="33"/>
      <c r="F400" s="33"/>
      <c r="G400" s="33"/>
      <c r="H400" s="33"/>
      <c r="I400" s="33"/>
      <c r="J400" s="33"/>
    </row>
    <row r="401" ht="13.5" customHeight="1" spans="2:10">
      <c r="B401" s="83" t="s">
        <v>742</v>
      </c>
      <c r="C401" s="83"/>
      <c r="D401" s="83"/>
      <c r="E401" s="83"/>
      <c r="F401" s="83"/>
      <c r="G401" s="83"/>
      <c r="H401" s="83"/>
      <c r="I401" s="83"/>
      <c r="J401" s="83"/>
    </row>
    <row r="402" ht="9.75" customHeight="1" spans="2:10">
      <c r="B402" s="41"/>
      <c r="C402" s="41"/>
      <c r="D402" s="41"/>
      <c r="E402" s="41"/>
      <c r="F402" s="41"/>
      <c r="G402" s="41"/>
      <c r="H402" s="41"/>
      <c r="I402" s="41"/>
      <c r="J402" s="41"/>
    </row>
  </sheetData>
  <mergeCells count="9">
    <mergeCell ref="B1:J1"/>
    <mergeCell ref="B67:J67"/>
    <mergeCell ref="B101:J101"/>
    <mergeCell ref="B135:J135"/>
    <mergeCell ref="B201:J201"/>
    <mergeCell ref="B267:J267"/>
    <mergeCell ref="B333:J333"/>
    <mergeCell ref="B367:J367"/>
    <mergeCell ref="B401:J401"/>
  </mergeCells>
  <conditionalFormatting sqref="B3:J402">
    <cfRule type="expression" dxfId="0" priority="2">
      <formula>$H3="✓"</formula>
    </cfRule>
    <cfRule type="expression" dxfId="1" priority="3">
      <formula>$H3="✗"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"/>
  <sheetViews>
    <sheetView showGridLines="0" workbookViewId="0">
      <selection activeCell="F3" sqref="F3"/>
    </sheetView>
  </sheetViews>
  <sheetFormatPr defaultColWidth="8.67592592592593" defaultRowHeight="14.4" outlineLevelCol="7"/>
  <cols>
    <col min="2" max="2" width="6" customWidth="1"/>
    <col min="3" max="4" width="18" customWidth="1"/>
    <col min="5" max="6" width="50" customWidth="1"/>
    <col min="7" max="7" width="22" customWidth="1"/>
    <col min="8" max="8" width="5" customWidth="1"/>
  </cols>
  <sheetData>
    <row r="1" ht="36" customHeight="1" spans="2:8">
      <c r="B1" s="1" t="s">
        <v>743</v>
      </c>
      <c r="C1" s="1"/>
      <c r="D1" s="1"/>
      <c r="E1" s="1"/>
      <c r="F1" s="1"/>
      <c r="G1" s="1"/>
      <c r="H1" s="1"/>
    </row>
    <row r="2" ht="24" customHeight="1" spans="2:7">
      <c r="B2" s="2" t="s">
        <v>744</v>
      </c>
      <c r="C2" s="2" t="s">
        <v>745</v>
      </c>
      <c r="D2" s="2" t="s">
        <v>746</v>
      </c>
      <c r="E2" s="2" t="s">
        <v>747</v>
      </c>
      <c r="F2" s="2" t="s">
        <v>748</v>
      </c>
      <c r="G2" s="2" t="s">
        <v>749</v>
      </c>
    </row>
    <row r="3" ht="31.5" customHeight="1" spans="2:7">
      <c r="B3" s="3">
        <v>1</v>
      </c>
      <c r="C3" s="4" t="s">
        <v>14</v>
      </c>
      <c r="D3" s="5" t="s">
        <v>15</v>
      </c>
      <c r="E3" s="5" t="s">
        <v>750</v>
      </c>
      <c r="F3" s="6" t="s">
        <v>751</v>
      </c>
      <c r="G3" s="5" t="s">
        <v>752</v>
      </c>
    </row>
    <row r="4" ht="31.5" customHeight="1" spans="2:7">
      <c r="B4" s="7">
        <v>2</v>
      </c>
      <c r="C4" s="8" t="s">
        <v>17</v>
      </c>
      <c r="D4" s="9" t="s">
        <v>18</v>
      </c>
      <c r="E4" s="9" t="s">
        <v>753</v>
      </c>
      <c r="F4" s="6" t="s">
        <v>754</v>
      </c>
      <c r="G4" s="9" t="s">
        <v>755</v>
      </c>
    </row>
    <row r="5" ht="31.5" customHeight="1" spans="2:7">
      <c r="B5" s="10">
        <v>3</v>
      </c>
      <c r="C5" s="11" t="s">
        <v>20</v>
      </c>
      <c r="D5" s="12" t="s">
        <v>21</v>
      </c>
      <c r="E5" s="12" t="s">
        <v>756</v>
      </c>
      <c r="F5" s="6" t="s">
        <v>757</v>
      </c>
      <c r="G5" s="12" t="s">
        <v>758</v>
      </c>
    </row>
    <row r="6" ht="31.5" customHeight="1" spans="2:7">
      <c r="B6" s="13">
        <v>4</v>
      </c>
      <c r="C6" s="14" t="s">
        <v>23</v>
      </c>
      <c r="D6" s="9" t="s">
        <v>24</v>
      </c>
      <c r="E6" s="9" t="s">
        <v>759</v>
      </c>
      <c r="F6" s="6" t="s">
        <v>760</v>
      </c>
      <c r="G6" s="9" t="s">
        <v>761</v>
      </c>
    </row>
    <row r="7" ht="31.5" customHeight="1" spans="2:7">
      <c r="B7" s="15">
        <v>5</v>
      </c>
      <c r="C7" s="16" t="s">
        <v>26</v>
      </c>
      <c r="D7" s="17" t="s">
        <v>27</v>
      </c>
      <c r="E7" s="17" t="s">
        <v>762</v>
      </c>
      <c r="F7" s="6" t="s">
        <v>763</v>
      </c>
      <c r="G7" s="17" t="s">
        <v>764</v>
      </c>
    </row>
    <row r="8" ht="31.5" customHeight="1" spans="2:7">
      <c r="B8" s="18">
        <v>6</v>
      </c>
      <c r="C8" s="19" t="s">
        <v>29</v>
      </c>
      <c r="D8" s="9" t="s">
        <v>30</v>
      </c>
      <c r="E8" s="9" t="s">
        <v>765</v>
      </c>
      <c r="F8" s="6" t="s">
        <v>766</v>
      </c>
      <c r="G8" s="9" t="s">
        <v>767</v>
      </c>
    </row>
    <row r="9" ht="31.5" customHeight="1" spans="2:7">
      <c r="B9" s="20">
        <v>7</v>
      </c>
      <c r="C9" s="21" t="s">
        <v>32</v>
      </c>
      <c r="D9" s="22" t="s">
        <v>33</v>
      </c>
      <c r="E9" s="22" t="s">
        <v>768</v>
      </c>
      <c r="F9" s="6" t="s">
        <v>769</v>
      </c>
      <c r="G9" s="22" t="s">
        <v>770</v>
      </c>
    </row>
    <row r="10" ht="31.5" customHeight="1" spans="2:7">
      <c r="B10" s="23">
        <v>8</v>
      </c>
      <c r="C10" s="24" t="s">
        <v>35</v>
      </c>
      <c r="D10" s="9" t="s">
        <v>36</v>
      </c>
      <c r="E10" s="9" t="s">
        <v>771</v>
      </c>
      <c r="F10" s="6" t="s">
        <v>772</v>
      </c>
      <c r="G10" s="9" t="s">
        <v>773</v>
      </c>
    </row>
  </sheetData>
  <mergeCells count="1">
    <mergeCell ref="B1:H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📊 Dashboard</vt:lpstr>
      <vt:lpstr>📅 Tracker</vt:lpstr>
      <vt:lpstr>📚 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 Kanasagara</cp:lastModifiedBy>
  <cp:revision>0</cp:revision>
  <dcterms:created xsi:type="dcterms:W3CDTF">2026-02-22T06:02:00Z</dcterms:created>
  <dcterms:modified xsi:type="dcterms:W3CDTF">2026-03-04T10:32:49Z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59717495CE5842EB82E307A0FC2A5A82_12</vt:lpwstr>
  </property>
  <property fmtid="{D5CDD505-2E9C-101B-9397-08002B2CF9AE}" pid="3" name="KSOProductBuildVer">
    <vt:lpwstr>1033-12.2.0.23196</vt:lpwstr>
  </property>
</Properties>
</file>